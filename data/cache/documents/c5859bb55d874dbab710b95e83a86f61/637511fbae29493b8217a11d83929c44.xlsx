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01"/>
  <workbookPr updateLinks="always"/>
  <mc:AlternateContent xmlns:mc="http://schemas.openxmlformats.org/markup-compatibility/2006">
    <mc:Choice Requires="x15">
      <x15ac:absPath xmlns:x15ac="http://schemas.microsoft.com/office/spreadsheetml/2010/11/ac" url="C:\Users\pivn01\Desktop\Ліси України\4_77230000-1Послуги, пов’язані з лісівництвом (Розсадники)\32 Суми 1 лот (повтор)\"/>
    </mc:Choice>
  </mc:AlternateContent>
  <xr:revisionPtr revIDLastSave="0" documentId="8_{36B48E15-562F-4BF1-B25A-29AF290DCE24}" xr6:coauthVersionLast="47" xr6:coauthVersionMax="47" xr10:uidLastSave="{00000000-0000-0000-0000-000000000000}"/>
  <workbookProtection workbookPassword="D309" lockStructure="1"/>
  <bookViews>
    <workbookView xWindow="-120" yWindow="-120" windowWidth="29040" windowHeight="15720" xr2:uid="{00000000-000D-0000-FFFF-FFFF00000000}"/>
  </bookViews>
  <sheets>
    <sheet name="Сітка" sheetId="1" r:id="rId1"/>
    <sheet name="Дані" sheetId="2" state="hidden" r:id="rId2"/>
  </sheets>
  <definedNames>
    <definedName name="_xlnm.Print_Area" localSheetId="0">Сітка!$A:$K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2" i="1" l="1"/>
  <c r="D22" i="1" s="1"/>
  <c r="E23" i="1"/>
  <c r="D23" i="1" s="1"/>
  <c r="E24" i="1"/>
  <c r="D24" i="1" s="1"/>
  <c r="E25" i="1"/>
  <c r="D25" i="1" s="1"/>
  <c r="E26" i="1"/>
  <c r="D26" i="1" s="1"/>
  <c r="E27" i="1"/>
  <c r="D27" i="1" s="1"/>
  <c r="E28" i="1"/>
  <c r="D28" i="1" s="1"/>
  <c r="E29" i="1"/>
  <c r="D29" i="1" s="1"/>
  <c r="E30" i="1"/>
  <c r="D30" i="1" s="1"/>
  <c r="A28" i="1"/>
  <c r="B28" i="1"/>
  <c r="F28" i="1"/>
  <c r="A29" i="1"/>
  <c r="B29" i="1"/>
  <c r="F29" i="1"/>
  <c r="A30" i="1"/>
  <c r="B30" i="1"/>
  <c r="F30" i="1"/>
  <c r="A22" i="1"/>
  <c r="B22" i="1"/>
  <c r="F22" i="1"/>
  <c r="A23" i="1"/>
  <c r="B23" i="1"/>
  <c r="F23" i="1"/>
  <c r="A24" i="1"/>
  <c r="B24" i="1"/>
  <c r="F24" i="1"/>
  <c r="A25" i="1"/>
  <c r="B25" i="1"/>
  <c r="F25" i="1"/>
  <c r="A26" i="1"/>
  <c r="B26" i="1"/>
  <c r="F26" i="1"/>
  <c r="A27" i="1"/>
  <c r="B27" i="1"/>
  <c r="F27" i="1"/>
  <c r="B198" i="1"/>
  <c r="B199" i="1"/>
  <c r="H199" i="1"/>
  <c r="B200" i="1"/>
  <c r="B201" i="1"/>
  <c r="H201" i="1"/>
  <c r="B202" i="1"/>
  <c r="B203" i="1"/>
  <c r="H203" i="1"/>
  <c r="B204" i="1"/>
  <c r="B205" i="1"/>
  <c r="H205" i="1"/>
  <c r="B206" i="1"/>
  <c r="H206" i="1"/>
  <c r="A206" i="1"/>
  <c r="A205" i="1"/>
  <c r="A204" i="1"/>
  <c r="A203" i="1"/>
  <c r="A198" i="1"/>
  <c r="A199" i="1"/>
  <c r="A200" i="1"/>
  <c r="A201" i="1"/>
  <c r="A202" i="1"/>
  <c r="K32" i="1"/>
  <c r="E4" i="1" l="1"/>
  <c r="D4" i="1" s="1"/>
  <c r="E5" i="1"/>
  <c r="D5" i="1" s="1"/>
  <c r="E6" i="1"/>
  <c r="E7" i="1"/>
  <c r="D7" i="1" s="1"/>
  <c r="E8" i="1"/>
  <c r="D8" i="1" s="1"/>
  <c r="E9" i="1"/>
  <c r="D9" i="1" s="1"/>
  <c r="E10" i="1"/>
  <c r="D10" i="1" s="1"/>
  <c r="E11" i="1"/>
  <c r="D11" i="1" s="1"/>
  <c r="E12" i="1"/>
  <c r="D12" i="1" s="1"/>
  <c r="E13" i="1"/>
  <c r="D13" i="1" s="1"/>
  <c r="E14" i="1"/>
  <c r="D14" i="1" s="1"/>
  <c r="E15" i="1"/>
  <c r="D15" i="1" s="1"/>
  <c r="E16" i="1"/>
  <c r="D16" i="1" s="1"/>
  <c r="E17" i="1"/>
  <c r="D17" i="1" s="1"/>
  <c r="E18" i="1"/>
  <c r="D18" i="1" s="1"/>
  <c r="E19" i="1"/>
  <c r="D19" i="1" s="1"/>
  <c r="E20" i="1"/>
  <c r="D20" i="1" s="1"/>
  <c r="E21" i="1"/>
  <c r="D21" i="1" s="1"/>
  <c r="D6" i="1"/>
  <c r="B4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B5" i="1"/>
  <c r="B6" i="1"/>
  <c r="B7" i="1"/>
  <c r="B8" i="1"/>
  <c r="B9" i="1"/>
  <c r="B10" i="1"/>
  <c r="B11" i="1"/>
  <c r="B12" i="1"/>
  <c r="B13" i="1"/>
  <c r="B14" i="1"/>
  <c r="B15" i="1"/>
  <c r="B17" i="1"/>
  <c r="B18" i="1"/>
  <c r="B19" i="1"/>
  <c r="B21" i="1"/>
  <c r="A4" i="1"/>
  <c r="A5" i="1"/>
  <c r="A6" i="1"/>
  <c r="A7" i="1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H194" i="1"/>
  <c r="H195" i="1"/>
  <c r="H196" i="1"/>
  <c r="H197" i="1"/>
  <c r="B194" i="1"/>
  <c r="B195" i="1"/>
  <c r="B196" i="1"/>
  <c r="B197" i="1"/>
  <c r="A194" i="1"/>
  <c r="A195" i="1"/>
  <c r="A196" i="1"/>
  <c r="A197" i="1"/>
  <c r="I34" i="1"/>
  <c r="F3" i="1" l="1"/>
  <c r="H191" i="1"/>
  <c r="H189" i="1"/>
  <c r="H187" i="1"/>
  <c r="H34" i="1"/>
  <c r="H35" i="1"/>
  <c r="H36" i="1"/>
  <c r="H37" i="1"/>
  <c r="H39" i="1"/>
  <c r="H40" i="1"/>
  <c r="H42" i="1"/>
  <c r="H43" i="1"/>
  <c r="H44" i="1"/>
  <c r="H45" i="1"/>
  <c r="H47" i="1"/>
  <c r="H49" i="1"/>
  <c r="H50" i="1"/>
  <c r="H51" i="1"/>
  <c r="H52" i="1"/>
  <c r="H54" i="1"/>
  <c r="H55" i="1"/>
  <c r="H56" i="1"/>
  <c r="H58" i="1"/>
  <c r="H60" i="1"/>
  <c r="H61" i="1"/>
  <c r="H64" i="1"/>
  <c r="H65" i="1"/>
  <c r="H66" i="1"/>
  <c r="H67" i="1"/>
  <c r="H69" i="1"/>
  <c r="H70" i="1"/>
  <c r="H71" i="1"/>
  <c r="H73" i="1"/>
  <c r="H75" i="1"/>
  <c r="H76" i="1"/>
  <c r="H78" i="1"/>
  <c r="H79" i="1"/>
  <c r="H80" i="1"/>
  <c r="H81" i="1"/>
  <c r="H82" i="1"/>
  <c r="H83" i="1"/>
  <c r="H85" i="1"/>
  <c r="H87" i="1"/>
  <c r="H88" i="1"/>
  <c r="H91" i="1"/>
  <c r="H92" i="1"/>
  <c r="H93" i="1"/>
  <c r="H97" i="1"/>
  <c r="H98" i="1"/>
  <c r="H100" i="1"/>
  <c r="H101" i="1"/>
  <c r="H104" i="1"/>
  <c r="H105" i="1"/>
  <c r="H107" i="1"/>
  <c r="H108" i="1"/>
  <c r="H110" i="1"/>
  <c r="H111" i="1"/>
  <c r="H112" i="1"/>
  <c r="H114" i="1"/>
  <c r="H115" i="1"/>
  <c r="H117" i="1"/>
  <c r="H118" i="1"/>
  <c r="H119" i="1"/>
  <c r="H121" i="1"/>
  <c r="H123" i="1"/>
  <c r="H124" i="1"/>
  <c r="H125" i="1"/>
  <c r="H127" i="1"/>
  <c r="H128" i="1"/>
  <c r="H129" i="1"/>
  <c r="H131" i="1"/>
  <c r="H132" i="1"/>
  <c r="H133" i="1"/>
  <c r="H136" i="1"/>
  <c r="H137" i="1"/>
  <c r="H138" i="1"/>
  <c r="H139" i="1"/>
  <c r="H140" i="1"/>
  <c r="H142" i="1"/>
  <c r="H143" i="1"/>
  <c r="H144" i="1"/>
  <c r="H145" i="1"/>
  <c r="H146" i="1"/>
  <c r="H152" i="1"/>
  <c r="H153" i="1"/>
  <c r="H155" i="1"/>
  <c r="H156" i="1"/>
  <c r="H157" i="1"/>
  <c r="H158" i="1"/>
  <c r="H159" i="1"/>
  <c r="H165" i="1"/>
  <c r="H166" i="1"/>
  <c r="H168" i="1"/>
  <c r="H169" i="1"/>
  <c r="H170" i="1"/>
  <c r="H171" i="1"/>
  <c r="H173" i="1"/>
  <c r="H174" i="1"/>
  <c r="H175" i="1"/>
  <c r="H177" i="1"/>
  <c r="H178" i="1"/>
  <c r="H180" i="1"/>
  <c r="H181" i="1"/>
  <c r="H182" i="1"/>
  <c r="H183" i="1"/>
  <c r="H186" i="1"/>
  <c r="H188" i="1"/>
  <c r="H190" i="1"/>
  <c r="H19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A145" i="1"/>
  <c r="A146" i="1"/>
  <c r="A147" i="1"/>
  <c r="A148" i="1"/>
  <c r="A149" i="1"/>
  <c r="A150" i="1"/>
  <c r="A151" i="1"/>
  <c r="A152" i="1"/>
  <c r="A153" i="1"/>
  <c r="A154" i="1"/>
  <c r="A155" i="1"/>
  <c r="A156" i="1"/>
  <c r="A157" i="1"/>
  <c r="A158" i="1"/>
  <c r="A159" i="1"/>
  <c r="A160" i="1"/>
  <c r="A161" i="1"/>
  <c r="A162" i="1"/>
  <c r="A163" i="1"/>
  <c r="A164" i="1"/>
  <c r="A165" i="1"/>
  <c r="A166" i="1"/>
  <c r="A167" i="1"/>
  <c r="A168" i="1"/>
  <c r="A169" i="1"/>
  <c r="A170" i="1"/>
  <c r="A171" i="1"/>
  <c r="A172" i="1"/>
  <c r="A173" i="1"/>
  <c r="A174" i="1"/>
  <c r="A175" i="1"/>
  <c r="A176" i="1"/>
  <c r="A177" i="1"/>
  <c r="A178" i="1"/>
  <c r="A179" i="1"/>
  <c r="A180" i="1"/>
  <c r="A181" i="1"/>
  <c r="A182" i="1"/>
  <c r="A183" i="1"/>
  <c r="A184" i="1"/>
  <c r="A185" i="1"/>
  <c r="A186" i="1"/>
  <c r="A187" i="1"/>
  <c r="A188" i="1"/>
  <c r="A189" i="1"/>
  <c r="A190" i="1"/>
  <c r="A191" i="1"/>
  <c r="A192" i="1"/>
  <c r="A193" i="1"/>
  <c r="A34" i="1"/>
  <c r="A35" i="1"/>
  <c r="A36" i="1"/>
  <c r="A37" i="1"/>
  <c r="A38" i="1"/>
  <c r="A39" i="1"/>
  <c r="A40" i="1"/>
  <c r="A41" i="1"/>
  <c r="A42" i="1"/>
  <c r="A43" i="1"/>
  <c r="A44" i="1"/>
  <c r="A45" i="1"/>
  <c r="A46" i="1"/>
  <c r="A47" i="1"/>
  <c r="A48" i="1"/>
  <c r="A49" i="1"/>
  <c r="A50" i="1"/>
  <c r="A51" i="1"/>
  <c r="A52" i="1"/>
  <c r="A53" i="1"/>
  <c r="A54" i="1"/>
  <c r="A55" i="1"/>
  <c r="A56" i="1"/>
  <c r="A57" i="1"/>
  <c r="A58" i="1"/>
  <c r="A59" i="1"/>
  <c r="A60" i="1"/>
  <c r="A61" i="1"/>
  <c r="A62" i="1"/>
  <c r="A63" i="1"/>
  <c r="A64" i="1"/>
  <c r="A65" i="1"/>
  <c r="A66" i="1"/>
  <c r="A67" i="1"/>
  <c r="A68" i="1"/>
  <c r="A69" i="1"/>
  <c r="A70" i="1"/>
  <c r="A71" i="1"/>
  <c r="A72" i="1"/>
  <c r="A73" i="1"/>
  <c r="A74" i="1"/>
  <c r="A75" i="1"/>
  <c r="A76" i="1"/>
  <c r="A77" i="1"/>
  <c r="A78" i="1"/>
  <c r="A79" i="1"/>
  <c r="A80" i="1"/>
  <c r="A81" i="1"/>
  <c r="A82" i="1"/>
  <c r="A83" i="1"/>
  <c r="A84" i="1"/>
  <c r="A85" i="1"/>
  <c r="A86" i="1"/>
  <c r="A87" i="1"/>
  <c r="A88" i="1"/>
  <c r="A89" i="1"/>
  <c r="A90" i="1"/>
  <c r="A91" i="1"/>
  <c r="A92" i="1"/>
  <c r="A93" i="1"/>
  <c r="A94" i="1"/>
  <c r="A95" i="1"/>
  <c r="A96" i="1"/>
  <c r="A97" i="1"/>
  <c r="A98" i="1"/>
  <c r="A99" i="1"/>
  <c r="A100" i="1"/>
  <c r="A101" i="1"/>
  <c r="A102" i="1"/>
  <c r="A103" i="1"/>
  <c r="A104" i="1"/>
  <c r="A105" i="1"/>
  <c r="A106" i="1"/>
  <c r="A107" i="1"/>
  <c r="A108" i="1"/>
  <c r="A109" i="1"/>
  <c r="A110" i="1"/>
  <c r="A111" i="1"/>
  <c r="A112" i="1"/>
  <c r="A113" i="1"/>
  <c r="A114" i="1"/>
  <c r="A115" i="1"/>
  <c r="A116" i="1"/>
  <c r="A117" i="1"/>
  <c r="A118" i="1"/>
  <c r="A119" i="1"/>
  <c r="A120" i="1"/>
  <c r="A121" i="1"/>
  <c r="A122" i="1"/>
  <c r="A123" i="1"/>
  <c r="A124" i="1"/>
  <c r="A125" i="1"/>
  <c r="A126" i="1"/>
  <c r="A127" i="1"/>
  <c r="A128" i="1"/>
  <c r="A129" i="1"/>
  <c r="A130" i="1"/>
  <c r="A131" i="1"/>
  <c r="A132" i="1"/>
  <c r="A133" i="1"/>
  <c r="A134" i="1"/>
  <c r="A135" i="1"/>
  <c r="A136" i="1"/>
  <c r="A137" i="1"/>
  <c r="A138" i="1"/>
  <c r="A139" i="1"/>
  <c r="A140" i="1"/>
  <c r="A141" i="1"/>
  <c r="A142" i="1"/>
  <c r="A143" i="1"/>
  <c r="A144" i="1"/>
  <c r="A3" i="1" l="1"/>
  <c r="B3" i="1"/>
  <c r="B33" i="1"/>
  <c r="A33" i="1"/>
  <c r="E3" i="1" l="1"/>
  <c r="D3" i="1" s="1"/>
  <c r="B16" i="1" l="1"/>
  <c r="B20" i="1"/>
  <c r="H150" i="1" l="1"/>
  <c r="H151" i="1"/>
  <c r="H149" i="1"/>
  <c r="H162" i="1"/>
  <c r="H163" i="1"/>
  <c r="J3" i="1" l="1"/>
  <c r="H29" i="1"/>
  <c r="H25" i="1"/>
  <c r="H28" i="1"/>
  <c r="H17" i="1"/>
  <c r="H27" i="1"/>
  <c r="H3" i="1"/>
  <c r="H8" i="1"/>
  <c r="I8" i="1" s="1"/>
  <c r="G8" i="1" s="1"/>
  <c r="H12" i="1"/>
  <c r="H16" i="1"/>
  <c r="H11" i="1"/>
  <c r="I11" i="1" s="1"/>
  <c r="G11" i="1" s="1"/>
  <c r="H5" i="1"/>
  <c r="H9" i="1"/>
  <c r="H13" i="1"/>
  <c r="H7" i="1"/>
  <c r="I7" i="1" s="1"/>
  <c r="G7" i="1" s="1"/>
  <c r="G58" i="1" s="1"/>
  <c r="H15" i="1"/>
  <c r="H6" i="1"/>
  <c r="H10" i="1"/>
  <c r="H14" i="1"/>
  <c r="H4" i="1"/>
  <c r="H26" i="1" l="1"/>
  <c r="H23" i="1"/>
  <c r="G76" i="1"/>
  <c r="G75" i="1"/>
  <c r="H18" i="1"/>
  <c r="I5" i="1" s="1"/>
  <c r="G5" i="1" s="1"/>
  <c r="H24" i="1"/>
  <c r="I10" i="1" s="1"/>
  <c r="G10" i="1" s="1"/>
  <c r="G73" i="1" s="1"/>
  <c r="H22" i="1"/>
  <c r="H21" i="1"/>
  <c r="H19" i="1"/>
  <c r="H30" i="1"/>
  <c r="I26" i="1" s="1"/>
  <c r="G26" i="1" s="1"/>
  <c r="H20" i="1"/>
  <c r="I16" i="1" s="1"/>
  <c r="G16" i="1" s="1"/>
  <c r="G60" i="1"/>
  <c r="G61" i="1"/>
  <c r="I17" i="1"/>
  <c r="G17" i="1" s="1"/>
  <c r="G121" i="1" s="1"/>
  <c r="G45" i="1" l="1"/>
  <c r="G42" i="1"/>
  <c r="G44" i="1"/>
  <c r="G43" i="1"/>
  <c r="I9" i="1"/>
  <c r="G9" i="1" s="1"/>
  <c r="I23" i="1"/>
  <c r="G23" i="1" s="1"/>
  <c r="G166" i="1" s="1"/>
  <c r="I6" i="1"/>
  <c r="G6" i="1" s="1"/>
  <c r="I14" i="1"/>
  <c r="G14" i="1" s="1"/>
  <c r="I21" i="1"/>
  <c r="G21" i="1" s="1"/>
  <c r="G145" i="1" s="1"/>
  <c r="I4" i="1"/>
  <c r="G4" i="1" s="1"/>
  <c r="I3" i="1"/>
  <c r="G3" i="1" s="1"/>
  <c r="I12" i="1"/>
  <c r="G12" i="1" s="1"/>
  <c r="I13" i="1"/>
  <c r="G13" i="1" s="1"/>
  <c r="G85" i="1" s="1"/>
  <c r="G140" i="1"/>
  <c r="G137" i="1"/>
  <c r="G143" i="1"/>
  <c r="G138" i="1"/>
  <c r="G139" i="1"/>
  <c r="G136" i="1"/>
  <c r="G146" i="1"/>
  <c r="G142" i="1"/>
  <c r="G165" i="1"/>
  <c r="G162" i="1"/>
  <c r="G163" i="1"/>
  <c r="G186" i="1"/>
  <c r="G194" i="1"/>
  <c r="G188" i="1"/>
  <c r="G191" i="1"/>
  <c r="G190" i="1"/>
  <c r="G197" i="1"/>
  <c r="G196" i="1"/>
  <c r="G193" i="1"/>
  <c r="G189" i="1"/>
  <c r="G195" i="1"/>
  <c r="G187" i="1"/>
  <c r="G107" i="1"/>
  <c r="G118" i="1"/>
  <c r="G104" i="1"/>
  <c r="G105" i="1"/>
  <c r="G111" i="1"/>
  <c r="G117" i="1"/>
  <c r="G114" i="1"/>
  <c r="G100" i="1"/>
  <c r="G101" i="1"/>
  <c r="G115" i="1"/>
  <c r="G98" i="1"/>
  <c r="G108" i="1"/>
  <c r="G97" i="1"/>
  <c r="G119" i="1"/>
  <c r="G110" i="1"/>
  <c r="G112" i="1"/>
  <c r="I24" i="1"/>
  <c r="G24" i="1" s="1"/>
  <c r="I29" i="1"/>
  <c r="G29" i="1" s="1"/>
  <c r="G203" i="1" s="1"/>
  <c r="I25" i="1"/>
  <c r="G25" i="1" s="1"/>
  <c r="I28" i="1"/>
  <c r="G28" i="1" s="1"/>
  <c r="G201" i="1" s="1"/>
  <c r="I27" i="1"/>
  <c r="G27" i="1" s="1"/>
  <c r="G199" i="1" s="1"/>
  <c r="I20" i="1"/>
  <c r="G20" i="1" s="1"/>
  <c r="I19" i="1"/>
  <c r="G19" i="1" s="1"/>
  <c r="I22" i="1"/>
  <c r="G22" i="1" s="1"/>
  <c r="I18" i="1"/>
  <c r="G18" i="1" s="1"/>
  <c r="I15" i="1"/>
  <c r="G15" i="1" s="1"/>
  <c r="G144" i="1" l="1"/>
  <c r="G80" i="1"/>
  <c r="G79" i="1"/>
  <c r="G81" i="1"/>
  <c r="G82" i="1"/>
  <c r="G78" i="1"/>
  <c r="G83" i="1"/>
  <c r="G87" i="1"/>
  <c r="G88" i="1"/>
  <c r="G37" i="1"/>
  <c r="G36" i="1"/>
  <c r="G35" i="1"/>
  <c r="G34" i="1"/>
  <c r="G54" i="1"/>
  <c r="G56" i="1"/>
  <c r="G51" i="1"/>
  <c r="G50" i="1"/>
  <c r="G47" i="1"/>
  <c r="G52" i="1"/>
  <c r="G49" i="1"/>
  <c r="G55" i="1"/>
  <c r="G39" i="1"/>
  <c r="G40" i="1"/>
  <c r="G66" i="1"/>
  <c r="G67" i="1"/>
  <c r="G65" i="1"/>
  <c r="G64" i="1"/>
  <c r="G71" i="1"/>
  <c r="G69" i="1"/>
  <c r="G70" i="1"/>
  <c r="G92" i="1"/>
  <c r="G93" i="1"/>
  <c r="G91" i="1"/>
  <c r="G157" i="1"/>
  <c r="G155" i="1"/>
  <c r="G151" i="1"/>
  <c r="G152" i="1"/>
  <c r="G158" i="1"/>
  <c r="G159" i="1"/>
  <c r="G153" i="1"/>
  <c r="G149" i="1"/>
  <c r="G150" i="1"/>
  <c r="G156" i="1"/>
  <c r="G131" i="1"/>
  <c r="G132" i="1"/>
  <c r="G133" i="1"/>
  <c r="I30" i="1"/>
  <c r="G30" i="1" s="1"/>
  <c r="G124" i="1"/>
  <c r="G125" i="1"/>
  <c r="G123" i="1"/>
  <c r="G128" i="1"/>
  <c r="G127" i="1"/>
  <c r="G129" i="1"/>
  <c r="G173" i="1"/>
  <c r="G181" i="1"/>
  <c r="G175" i="1"/>
  <c r="G180" i="1"/>
  <c r="G177" i="1"/>
  <c r="G182" i="1"/>
  <c r="G178" i="1"/>
  <c r="G174" i="1"/>
  <c r="G183" i="1"/>
  <c r="G169" i="1"/>
  <c r="G168" i="1"/>
  <c r="G171" i="1"/>
  <c r="G170" i="1"/>
  <c r="G205" i="1" l="1"/>
  <c r="G206" i="1"/>
</calcChain>
</file>

<file path=xl/sharedStrings.xml><?xml version="1.0" encoding="utf-8"?>
<sst xmlns="http://schemas.openxmlformats.org/spreadsheetml/2006/main" count="1304" uniqueCount="385">
  <si>
    <t>№ з/п</t>
  </si>
  <si>
    <t>№ лоту</t>
  </si>
  <si>
    <t>ПАРАМЕТРИ ЛОТУ</t>
  </si>
  <si>
    <t>Відмітка про надання послуг</t>
  </si>
  <si>
    <t>Обсяг надання послуг</t>
  </si>
  <si>
    <t>Коефіцієнт частки вартості</t>
  </si>
  <si>
    <t>Початкова ціна лоту без ПДВ, грн</t>
  </si>
  <si>
    <t>Тендерна пропозиція УЧАСНИКА без ПДВ, грн</t>
  </si>
  <si>
    <t>Од. виміру</t>
  </si>
  <si>
    <t>Коефіцієнт ціни</t>
  </si>
  <si>
    <t>Коефіцієнти цін</t>
  </si>
  <si>
    <t>-</t>
  </si>
  <si>
    <t>Вартість надання послуг без ПДВ, грн</t>
  </si>
  <si>
    <t>СІТКА РОЗЦІНОК на надання лісокультурних послуг</t>
  </si>
  <si>
    <t>id:</t>
  </si>
  <si>
    <t>Ціна, без ПДВ</t>
  </si>
  <si>
    <t>Гранична ціна без ПДВ, грн/од. виміру</t>
  </si>
  <si>
    <t>Найменування послуг</t>
  </si>
  <si>
    <t>грн/м2</t>
  </si>
  <si>
    <t>грн/кг</t>
  </si>
  <si>
    <t>грн/м3</t>
  </si>
  <si>
    <t>грн/тис. пог. м</t>
  </si>
  <si>
    <t>грн/касета</t>
  </si>
  <si>
    <t>грн/щит</t>
  </si>
  <si>
    <t>грн/тис. шт.</t>
  </si>
  <si>
    <t>грн/шт.</t>
  </si>
  <si>
    <t>грн/ящик</t>
  </si>
  <si>
    <t>грн/год</t>
  </si>
  <si>
    <t>5Y8X2A</t>
  </si>
  <si>
    <t>Коефіцієнт ціни, од.</t>
  </si>
  <si>
    <t>1.</t>
  </si>
  <si>
    <t>Обробіток грунту:</t>
  </si>
  <si>
    <t>1.1.</t>
  </si>
  <si>
    <t xml:space="preserve">          - боронування всіх різновидностей грунту  в один слід бороною</t>
  </si>
  <si>
    <t>1.2.</t>
  </si>
  <si>
    <t xml:space="preserve">          - підготовка грунту в розсаднику тракторною фрезою перед висіванням насіння</t>
  </si>
  <si>
    <t>1.3.</t>
  </si>
  <si>
    <t xml:space="preserve">          - очищення площі з вибиранням коріння та деревини, що залишилася після оранки</t>
  </si>
  <si>
    <t>1.4.</t>
  </si>
  <si>
    <t xml:space="preserve">          - коткування грунту</t>
  </si>
  <si>
    <t>2.</t>
  </si>
  <si>
    <t>Перекопування та планування обробленого ґрунту:</t>
  </si>
  <si>
    <t>2.1.</t>
  </si>
  <si>
    <t xml:space="preserve">          - планування обробленого ґрунту граблями з розбиванням груддя, з вибиранням коріння, каміння, дернини та віднесення їх на віддаль до 40 м на середньому грунті</t>
  </si>
  <si>
    <t>2.2.</t>
  </si>
  <si>
    <t xml:space="preserve">          - перекопування лопатою на один штик обробленого грунту з розбиванням груддя та вирівнювання поверхні граблями на середньому грунті </t>
  </si>
  <si>
    <t>3.</t>
  </si>
  <si>
    <t>Підготовка насіння до висівання:</t>
  </si>
  <si>
    <t>3.1.</t>
  </si>
  <si>
    <t xml:space="preserve">          - засипання жолудів у ями на зимове зберігання   </t>
  </si>
  <si>
    <t>3.2.</t>
  </si>
  <si>
    <t xml:space="preserve">          - вибирання жолудів із ями </t>
  </si>
  <si>
    <t>3.3.</t>
  </si>
  <si>
    <t xml:space="preserve">          - затарювання насіння у мішки</t>
  </si>
  <si>
    <t>3.4.</t>
  </si>
  <si>
    <t xml:space="preserve">          - вибирання насіння з під снігу</t>
  </si>
  <si>
    <t>4.</t>
  </si>
  <si>
    <t>Стратифікація, зволоження та протруювання насіння:</t>
  </si>
  <si>
    <t>4.1.</t>
  </si>
  <si>
    <t xml:space="preserve">          - стратифікація насіння</t>
  </si>
  <si>
    <t>4.2.</t>
  </si>
  <si>
    <t xml:space="preserve">Перемішування та зволоження насіння у ящиках під час його зберігання та стратифікації:                                                                                            </t>
  </si>
  <si>
    <t>4.2.1.</t>
  </si>
  <si>
    <t xml:space="preserve">          - дрібного</t>
  </si>
  <si>
    <t>4.2.2.</t>
  </si>
  <si>
    <t xml:space="preserve">          - середнього</t>
  </si>
  <si>
    <t>4.2.3.</t>
  </si>
  <si>
    <t xml:space="preserve">          -  великого</t>
  </si>
  <si>
    <t>4.3.</t>
  </si>
  <si>
    <t xml:space="preserve">          - замочування насіння у холодній воді (глід, сосна звичайна та інші) </t>
  </si>
  <si>
    <t>4.4.</t>
  </si>
  <si>
    <t>Протруювання насіння фунгіцидами:</t>
  </si>
  <si>
    <t>4.4.1.</t>
  </si>
  <si>
    <t xml:space="preserve">          - сухим та напівсухим способом</t>
  </si>
  <si>
    <t>4.4.2.</t>
  </si>
  <si>
    <t xml:space="preserve">          - мокрим способом</t>
  </si>
  <si>
    <t>4.5.</t>
  </si>
  <si>
    <t xml:space="preserve">          - обробка насіння стимулятором росту</t>
  </si>
  <si>
    <t>5.</t>
  </si>
  <si>
    <t>Снігування насіння:</t>
  </si>
  <si>
    <t>5.1.</t>
  </si>
  <si>
    <t xml:space="preserve">          - снігування насіння, затарених у мішки</t>
  </si>
  <si>
    <t>6.</t>
  </si>
  <si>
    <t>Заготівля снігу та льоду для снігування насіння з піднесенням до 50 м:</t>
  </si>
  <si>
    <t>6.1.</t>
  </si>
  <si>
    <t xml:space="preserve">          - снігу</t>
  </si>
  <si>
    <t>6.2.</t>
  </si>
  <si>
    <t xml:space="preserve">          - льоду</t>
  </si>
  <si>
    <t>7.</t>
  </si>
  <si>
    <t>Висівання насіння:</t>
  </si>
  <si>
    <t>7.1.</t>
  </si>
  <si>
    <t>Посів розсадника:</t>
  </si>
  <si>
    <t>7.1.1.</t>
  </si>
  <si>
    <t xml:space="preserve">          - висівання дрібного насіння</t>
  </si>
  <si>
    <t>7.1.2.</t>
  </si>
  <si>
    <t xml:space="preserve">          - висівання середнього насіння</t>
  </si>
  <si>
    <t>7.1.3.</t>
  </si>
  <si>
    <t xml:space="preserve">          - висівання великого насіння</t>
  </si>
  <si>
    <t>7.2.</t>
  </si>
  <si>
    <t xml:space="preserve">          - висівання дрібного насіння ручною сівалкою СС-1, СЛ-1</t>
  </si>
  <si>
    <t>7.3.</t>
  </si>
  <si>
    <t>Утворення борозен під висівання насіння шнуром або дерев`яним борозником при глибині борозен:</t>
  </si>
  <si>
    <t>7.3.1.</t>
  </si>
  <si>
    <t xml:space="preserve">          - до 3 см </t>
  </si>
  <si>
    <t>7.3.2.</t>
  </si>
  <si>
    <t xml:space="preserve">          - 4-7 см </t>
  </si>
  <si>
    <t>7.4.</t>
  </si>
  <si>
    <t xml:space="preserve">          - засипання мульчею посівів дрібного насіння</t>
  </si>
  <si>
    <t>8.</t>
  </si>
  <si>
    <t>Висівання насіння в короби та теплиці:</t>
  </si>
  <si>
    <t>8.1.</t>
  </si>
  <si>
    <t xml:space="preserve">          - висівання насіння в короби та теплиці</t>
  </si>
  <si>
    <t>9.</t>
  </si>
  <si>
    <t>Висівання у касети:</t>
  </si>
  <si>
    <t>9.1.</t>
  </si>
  <si>
    <t xml:space="preserve">          - висів жолудів у касети </t>
  </si>
  <si>
    <t>9.2.</t>
  </si>
  <si>
    <t xml:space="preserve">          - висів насіння хвойних порід у касети</t>
  </si>
  <si>
    <t>10.</t>
  </si>
  <si>
    <t>Догляд за сіянцями та саджанцями:</t>
  </si>
  <si>
    <t>10.1.</t>
  </si>
  <si>
    <t xml:space="preserve">          - поливання посівів зі шлангу</t>
  </si>
  <si>
    <t>10.2.</t>
  </si>
  <si>
    <t xml:space="preserve">          - зняття затінюючої сітки, плівки, агроволокна</t>
  </si>
  <si>
    <t>10.3.</t>
  </si>
  <si>
    <t xml:space="preserve">          - внесення мінеральних добрив у грунт шляхом розкидання ручним способом</t>
  </si>
  <si>
    <t>10.4.</t>
  </si>
  <si>
    <t xml:space="preserve">          - протруювання грунту хімікатом</t>
  </si>
  <si>
    <t>10.5.</t>
  </si>
  <si>
    <t xml:space="preserve">          - очищення доріжок від бурянів мотикою в розсаднику</t>
  </si>
  <si>
    <t>10.6.</t>
  </si>
  <si>
    <t xml:space="preserve">          - догляд за сіянцями та саджанцями грунтофрезою (мотоблоком) з наявністю бур'янів</t>
  </si>
  <si>
    <t>11.</t>
  </si>
  <si>
    <t>Покривання сіянців та саджанців затіняючою сіткою, плівкою, агроволокном:</t>
  </si>
  <si>
    <t>11.1.</t>
  </si>
  <si>
    <t xml:space="preserve">          - покривання сіянців та саджанців затіняючою сіткою, плівкою, агроволокном</t>
  </si>
  <si>
    <t>12.</t>
  </si>
  <si>
    <t>Обприскування та підживлення рослин:</t>
  </si>
  <si>
    <t>12.1.</t>
  </si>
  <si>
    <t xml:space="preserve">          - обприскування  рослин в розсадниках, прибудинкових зелених зон території лісництва, коробах та теплицях отрутохімікатами із обприскувача </t>
  </si>
  <si>
    <t>12.2.</t>
  </si>
  <si>
    <t xml:space="preserve">          - підживлення  рослин у парниках, теплицях мінеральними добривами із поливалки або обприскувача </t>
  </si>
  <si>
    <t>13.</t>
  </si>
  <si>
    <t>Прополювання посівів у теплицях або коробах:</t>
  </si>
  <si>
    <t>13.1.</t>
  </si>
  <si>
    <t>13.1.1.</t>
  </si>
  <si>
    <t xml:space="preserve">          - слабка забур'яненість</t>
  </si>
  <si>
    <t>13.1.2.</t>
  </si>
  <si>
    <t xml:space="preserve">          - середня забур'яненість</t>
  </si>
  <si>
    <t>13.1.3.</t>
  </si>
  <si>
    <t xml:space="preserve">          - велика забур'яненість</t>
  </si>
  <si>
    <t>14.</t>
  </si>
  <si>
    <t>Розпушування грунту та прополювання посівів:</t>
  </si>
  <si>
    <t>14.1.</t>
  </si>
  <si>
    <t>Розпушування грунту сапою на грядкових та стрічкових посівах без ручного прополювання бур'янів в рядах після появи сходів насіння на грунтах, обробленої площі:</t>
  </si>
  <si>
    <t>14.1.1.</t>
  </si>
  <si>
    <t>легких та середніх при забур`яненості:</t>
  </si>
  <si>
    <t>14.1.2.</t>
  </si>
  <si>
    <t xml:space="preserve">          - незначній або слабкій</t>
  </si>
  <si>
    <t>14.1.3.</t>
  </si>
  <si>
    <t xml:space="preserve">          - середній</t>
  </si>
  <si>
    <t>14.1.4.</t>
  </si>
  <si>
    <t>важких при забур`яненості:</t>
  </si>
  <si>
    <t>14.1.5.</t>
  </si>
  <si>
    <t>14.1.6.</t>
  </si>
  <si>
    <t>14.2.</t>
  </si>
  <si>
    <t>Розпушування грунту сапою на грядкових та стрічкових посівах з прополюванням бур`янів руками в рядках посівів на грунтах, обробленої площі:</t>
  </si>
  <si>
    <t>14.2.1.</t>
  </si>
  <si>
    <t>14.2.2.</t>
  </si>
  <si>
    <t xml:space="preserve">          - слабкій</t>
  </si>
  <si>
    <t>14.2.3.</t>
  </si>
  <si>
    <t>14.2.4.</t>
  </si>
  <si>
    <t>14.2.5.</t>
  </si>
  <si>
    <t>14.2.6.</t>
  </si>
  <si>
    <t>14.3.</t>
  </si>
  <si>
    <t>Прополювання посівів у рядах, видалення, збирання, винесення бур`янів на віддаль до 50 м при забур`яненості, обробленої площі:</t>
  </si>
  <si>
    <t>14.3.1.</t>
  </si>
  <si>
    <t>14.3.2.</t>
  </si>
  <si>
    <t>14.3.3.</t>
  </si>
  <si>
    <t xml:space="preserve">          - великій</t>
  </si>
  <si>
    <t>14.4.</t>
  </si>
  <si>
    <t>Розпушування грунту граблями на стрічкових посівах до появи сходів на грунтах:</t>
  </si>
  <si>
    <t>14.4.1.</t>
  </si>
  <si>
    <t xml:space="preserve">          - легких та середніх</t>
  </si>
  <si>
    <t>14.4.2.</t>
  </si>
  <si>
    <t xml:space="preserve">          - важких</t>
  </si>
  <si>
    <t>14.5.</t>
  </si>
  <si>
    <t>Розпушування грунту мотикою в рядках саджанців на грунтах при забур`яненості, обробленої площі:</t>
  </si>
  <si>
    <t>14.5.1.</t>
  </si>
  <si>
    <t>14.5.2.</t>
  </si>
  <si>
    <t>14.5.3.</t>
  </si>
  <si>
    <t>15.</t>
  </si>
  <si>
    <t>Затінення посівів щитами:</t>
  </si>
  <si>
    <t>15.1.</t>
  </si>
  <si>
    <t xml:space="preserve">          - затінення посівів щитами </t>
  </si>
  <si>
    <t>16.</t>
  </si>
  <si>
    <t>Послуги в теплицях та шкільних відділеннях лісових розсадників (низької вартості):</t>
  </si>
  <si>
    <t>16.1.</t>
  </si>
  <si>
    <t xml:space="preserve">          - заготівля живців</t>
  </si>
  <si>
    <t>16.2.</t>
  </si>
  <si>
    <t xml:space="preserve">          - садіння саджанців (живців) у відкритий оброблений грунт під меч Колесова або лопату</t>
  </si>
  <si>
    <t>16.3.</t>
  </si>
  <si>
    <t xml:space="preserve">          - викопування лопатою саджанців під пологом лісу</t>
  </si>
  <si>
    <t>17.</t>
  </si>
  <si>
    <t>Послуги в теплицях та шкільних відділеннях лісових розсадників (середньої вартості):</t>
  </si>
  <si>
    <t>17.1.</t>
  </si>
  <si>
    <t xml:space="preserve">          - садіння невкорінених живців</t>
  </si>
  <si>
    <t>17.2.</t>
  </si>
  <si>
    <t xml:space="preserve">          - садіння укорінених живців в касети, горщики</t>
  </si>
  <si>
    <t>17.3.</t>
  </si>
  <si>
    <t xml:space="preserve">          - переміщення ящиків із порожніми горшками</t>
  </si>
  <si>
    <t>18.</t>
  </si>
  <si>
    <t>Послуги в теплицях та шкільних відділеннях лісових розсадників (високої вартості):</t>
  </si>
  <si>
    <t>18.1.</t>
  </si>
  <si>
    <t xml:space="preserve">          - щеплення, пінцерування та окулірування рослин</t>
  </si>
  <si>
    <t>18.2.</t>
  </si>
  <si>
    <t xml:space="preserve">          - наповнення касет земляною сумішшю</t>
  </si>
  <si>
    <t>18.3.</t>
  </si>
  <si>
    <t xml:space="preserve">          - переміщення ящиків із рослинами в горшках</t>
  </si>
  <si>
    <t>19.</t>
  </si>
  <si>
    <t>Викопування декоративних саджанців без грудки землі:</t>
  </si>
  <si>
    <t>19.1.</t>
  </si>
  <si>
    <t>листяних порід висотою:</t>
  </si>
  <si>
    <t>19.1.1.</t>
  </si>
  <si>
    <t xml:space="preserve">          - до 0,5 м</t>
  </si>
  <si>
    <t>19.1.2.</t>
  </si>
  <si>
    <t xml:space="preserve">          - 0,51 -1,0 м</t>
  </si>
  <si>
    <t>19.1.3.</t>
  </si>
  <si>
    <t xml:space="preserve">          - 1,01 -1,5 м</t>
  </si>
  <si>
    <t>19.1.4.</t>
  </si>
  <si>
    <t xml:space="preserve">          - 1,51-2,0 м</t>
  </si>
  <si>
    <t>19.1.5.</t>
  </si>
  <si>
    <t xml:space="preserve">          - 2,01 м і більше</t>
  </si>
  <si>
    <t>19.2.</t>
  </si>
  <si>
    <t>хвойних порід висотою:</t>
  </si>
  <si>
    <t>19.2.1.</t>
  </si>
  <si>
    <t>19.2.2.</t>
  </si>
  <si>
    <t>19.2.3.</t>
  </si>
  <si>
    <t>19.2.4.</t>
  </si>
  <si>
    <t>19.2.5.</t>
  </si>
  <si>
    <t>20.</t>
  </si>
  <si>
    <t>Викопування декоративних саджанців з грудою землі:</t>
  </si>
  <si>
    <t>20.1.</t>
  </si>
  <si>
    <t>20.1.1.</t>
  </si>
  <si>
    <t>20.1.2.</t>
  </si>
  <si>
    <t>20.1.3.</t>
  </si>
  <si>
    <t>20.1.4.</t>
  </si>
  <si>
    <t>20.1.5.</t>
  </si>
  <si>
    <t>20.2.</t>
  </si>
  <si>
    <t>20.2.1.</t>
  </si>
  <si>
    <t>20.2.2.</t>
  </si>
  <si>
    <t>20.2.3.</t>
  </si>
  <si>
    <t>20.2.4.</t>
  </si>
  <si>
    <t>20.2.5.</t>
  </si>
  <si>
    <t>21.</t>
  </si>
  <si>
    <t>Топіарна стрижка:</t>
  </si>
  <si>
    <t>21.1.</t>
  </si>
  <si>
    <t>Топіарна стрижка декоративних  дерев та кущів висотою до 1,0 метра:</t>
  </si>
  <si>
    <t>21.1.1.</t>
  </si>
  <si>
    <t xml:space="preserve">          - без придання фігурної форми</t>
  </si>
  <si>
    <t>21.1.2.</t>
  </si>
  <si>
    <t xml:space="preserve">          - з приданням фігурної форми</t>
  </si>
  <si>
    <t>21.2.</t>
  </si>
  <si>
    <t>Топіарна стрижка декоративних дерев та кущів висотою  1,1 метра і більше:</t>
  </si>
  <si>
    <t>21.2.1.</t>
  </si>
  <si>
    <t>21.2.2.</t>
  </si>
  <si>
    <t>22.</t>
  </si>
  <si>
    <t>Приготування земляної (торфяної) суміші для коробів та теплиць:</t>
  </si>
  <si>
    <t>22.1.</t>
  </si>
  <si>
    <t xml:space="preserve">          - підготовка торфяно-земляної суміші</t>
  </si>
  <si>
    <t>22.2.</t>
  </si>
  <si>
    <t xml:space="preserve">          - піднесення торфяно-земляної суміші   </t>
  </si>
  <si>
    <t>22.3.</t>
  </si>
  <si>
    <t xml:space="preserve">          - розкидання лопатою торфяно-земляної суміші</t>
  </si>
  <si>
    <t>22.4.</t>
  </si>
  <si>
    <t xml:space="preserve">          - викопування землі лопатою із винесенням на віддаль</t>
  </si>
  <si>
    <t>23.</t>
  </si>
  <si>
    <t xml:space="preserve">Послуги, пов`язані із вирощуванням саджанців із закритою кореневою системою (ЗКС): </t>
  </si>
  <si>
    <t>23.1.</t>
  </si>
  <si>
    <t xml:space="preserve">          - очищення горщиків та ящиків від земельної суміші</t>
  </si>
  <si>
    <t>23.2.</t>
  </si>
  <si>
    <t xml:space="preserve">          - миття порожніх горшків</t>
  </si>
  <si>
    <t>23.3.</t>
  </si>
  <si>
    <t xml:space="preserve">          - наповнення готовою сумішшю горшків </t>
  </si>
  <si>
    <t>23.4.</t>
  </si>
  <si>
    <t>Установлення на стелажі рослин у розсаднику у горшках діаметром, см:</t>
  </si>
  <si>
    <t>23.4.1.</t>
  </si>
  <si>
    <t xml:space="preserve">          -  до 25 см</t>
  </si>
  <si>
    <t>23.4.2.</t>
  </si>
  <si>
    <t xml:space="preserve">          - більше 25 см</t>
  </si>
  <si>
    <t>23.5.</t>
  </si>
  <si>
    <t>Установлення  в грунт  рослин  у горшках діаметром, см:</t>
  </si>
  <si>
    <t>23.5.1.</t>
  </si>
  <si>
    <t>23.5.2.</t>
  </si>
  <si>
    <t>23.6.</t>
  </si>
  <si>
    <t xml:space="preserve">          - установлення етикеток у ящики та горщики декоративних рослин</t>
  </si>
  <si>
    <t>23.7.</t>
  </si>
  <si>
    <t xml:space="preserve">          - догляд за рослинами в горщиках (видалення бур`янів, сухого листя, гілля, квітів тощо)</t>
  </si>
  <si>
    <t>24.</t>
  </si>
  <si>
    <t>Садіння рослин у горщики:</t>
  </si>
  <si>
    <t>24.1.</t>
  </si>
  <si>
    <t>Садіння рослин у горшки діаметром , см:</t>
  </si>
  <si>
    <t>24.1.1.</t>
  </si>
  <si>
    <t xml:space="preserve">          - 7-10</t>
  </si>
  <si>
    <t>24.1.2.</t>
  </si>
  <si>
    <t xml:space="preserve">          - 11-14</t>
  </si>
  <si>
    <t>24.1.3.</t>
  </si>
  <si>
    <t xml:space="preserve">          - 15-17</t>
  </si>
  <si>
    <t>24.1.4.</t>
  </si>
  <si>
    <t xml:space="preserve">          - 18-22</t>
  </si>
  <si>
    <t>24.1.5.</t>
  </si>
  <si>
    <t xml:space="preserve">          - 23-25</t>
  </si>
  <si>
    <t>24.1.6.</t>
  </si>
  <si>
    <t>24.2.</t>
  </si>
  <si>
    <t>Пересаджування рослин у горшки з більшим діаметром , см:</t>
  </si>
  <si>
    <t>24.2.1.</t>
  </si>
  <si>
    <t xml:space="preserve">          - 12-15</t>
  </si>
  <si>
    <t>24.2.2.</t>
  </si>
  <si>
    <t xml:space="preserve">          - 16-18</t>
  </si>
  <si>
    <t>24.2.3.</t>
  </si>
  <si>
    <t xml:space="preserve">          - 19-21</t>
  </si>
  <si>
    <t>24.2.4.</t>
  </si>
  <si>
    <t xml:space="preserve">          - 22-25</t>
  </si>
  <si>
    <t>24.2.5.</t>
  </si>
  <si>
    <t>25.</t>
  </si>
  <si>
    <t>Сівба насіння квіткових культур в ящики:</t>
  </si>
  <si>
    <t>25.1.</t>
  </si>
  <si>
    <t xml:space="preserve">          - сівба насіння квіткових культур в ящики із заправкою ящиків землею</t>
  </si>
  <si>
    <t>26.</t>
  </si>
  <si>
    <t>Господарські послуги:</t>
  </si>
  <si>
    <t>26.1.</t>
  </si>
  <si>
    <t xml:space="preserve">          - господарські роботи (прибирання та догляд за територією розсадника, фарбування поверхонь, підготовка, встановлення та ремонт системи поливу та інші господарські роботи)</t>
  </si>
  <si>
    <t>27.</t>
  </si>
  <si>
    <t>Виготовлення дерев'яних ящиків для перевезення посадкового матеріалу:</t>
  </si>
  <si>
    <t>27.1.</t>
  </si>
  <si>
    <t xml:space="preserve">          - виготовлення дерев'яних ящиків для перевезення посадкового матеріалу</t>
  </si>
  <si>
    <t>28.</t>
  </si>
  <si>
    <t>Формування крон у новорічних дерев:</t>
  </si>
  <si>
    <t>28.1.</t>
  </si>
  <si>
    <t xml:space="preserve">          - 1 рік стрижки</t>
  </si>
  <si>
    <t>28.2.</t>
  </si>
  <si>
    <t xml:space="preserve">          - 2 рік стрижки</t>
  </si>
  <si>
    <t>ОБСЯГИ НАДАННЯ ПОСЛУГ</t>
  </si>
  <si>
    <t>Одниці виміру</t>
  </si>
  <si>
    <t>Обробіток грунту</t>
  </si>
  <si>
    <t>м2</t>
  </si>
  <si>
    <t>Перекопування та планування обробленого ґрунту</t>
  </si>
  <si>
    <t>Підготовка насіння до висівання</t>
  </si>
  <si>
    <t>кг</t>
  </si>
  <si>
    <t>Стратифікація, зволоження та протруювання насіння</t>
  </si>
  <si>
    <t>Снігування насіння</t>
  </si>
  <si>
    <t>Заготівля снігу та льоду для снігування насіння з піднесенням до 50 м</t>
  </si>
  <si>
    <t>м3</t>
  </si>
  <si>
    <t>Висівання насіння</t>
  </si>
  <si>
    <t>тис. пог. м.</t>
  </si>
  <si>
    <t>Висівання насіння в короби та теплиці</t>
  </si>
  <si>
    <t>Висівання у касети</t>
  </si>
  <si>
    <t>касета</t>
  </si>
  <si>
    <t>Догляд за сіянцями та саджанцями</t>
  </si>
  <si>
    <t>Покривання сіянців та саджанців затіняючою сіткою, плівкою, агроволокном</t>
  </si>
  <si>
    <t>Обприскування та підживлення рослин</t>
  </si>
  <si>
    <t>Прополювання посівів у теплицях або коробах</t>
  </si>
  <si>
    <t>Розпушування грунту та прополювання посівів</t>
  </si>
  <si>
    <t>Затінення посівів щитами</t>
  </si>
  <si>
    <t>щит</t>
  </si>
  <si>
    <t>Послуги в теплицях та шкільних відділеннях лісових розсадників (низької вартості)</t>
  </si>
  <si>
    <t>тис. шт.</t>
  </si>
  <si>
    <t>Послуги в теплицях та шкільних відділеннях лісових розсадників (середньої вартості)</t>
  </si>
  <si>
    <t>Послуги в теплицях та шкільних відділеннях лісових розсадників (високої вартості)</t>
  </si>
  <si>
    <t>Викопування декоративних саджанців без грудки землі</t>
  </si>
  <si>
    <t>Викопування декоративних саджанців з грудою землі</t>
  </si>
  <si>
    <t>Топіарна стрижка</t>
  </si>
  <si>
    <t>шт.</t>
  </si>
  <si>
    <t>Приготування земляної (торфяної) суміші для коробів та теплиць</t>
  </si>
  <si>
    <t>Послуги, пов`язані із вирощуванням саджанців із закритою кореневою системою (ЗКС)</t>
  </si>
  <si>
    <t>Садіння рослин у горщики</t>
  </si>
  <si>
    <t>Сівба насіння квіткових культур в ящики</t>
  </si>
  <si>
    <t>Господарські послуги</t>
  </si>
  <si>
    <t>год</t>
  </si>
  <si>
    <t>Виготовлення дерев'яних ящиків для перевезення посадкового матеріалу</t>
  </si>
  <si>
    <t>ящик</t>
  </si>
  <si>
    <t>Формування крон у новорічних дерев</t>
  </si>
  <si>
    <t>ОЧІКУВАНА ВАРТІСТЬ ПРЕДМЕТА ЗАКУПІВЛІ БЕЗ ПДВ, ГРН</t>
  </si>
  <si>
    <t>РАЗОМ ПО ЛОТУ</t>
  </si>
  <si>
    <t>КОЕФІЦІЄНТ ЧАСТКИ ВАРТОСТІ, ОДИНИЦЬ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</si>
</sst>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#,##0.000000"/>
  </numFmts>
  <fonts count="1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i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i/>
      <sz val="11"/>
      <color theme="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</fills>
  <borders count="4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7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4" fontId="0" fillId="0" borderId="1" xfId="0" applyNumberForma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6" fillId="0" borderId="0" xfId="0" applyFont="1" applyAlignment="1">
      <alignment horizontal="center"/>
    </xf>
    <xf numFmtId="0" fontId="5" fillId="0" borderId="0" xfId="0" applyFont="1"/>
    <xf numFmtId="0" fontId="6" fillId="4" borderId="2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/>
    </xf>
    <xf numFmtId="0" fontId="6" fillId="0" borderId="1" xfId="0" applyFont="1" applyBorder="1" applyAlignment="1">
      <alignment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vertical="center" wrapText="1"/>
    </xf>
    <xf numFmtId="0" fontId="0" fillId="0" borderId="0" xfId="0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4" fontId="0" fillId="0" borderId="1" xfId="0" applyNumberFormat="1" applyBorder="1" applyAlignment="1">
      <alignment horizontal="center" vertical="center" wrapText="1"/>
    </xf>
    <xf numFmtId="0" fontId="5" fillId="0" borderId="0" xfId="0" applyFont="1" applyAlignment="1">
      <alignment wrapText="1"/>
    </xf>
    <xf numFmtId="0" fontId="4" fillId="4" borderId="6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/>
    </xf>
    <xf numFmtId="0" fontId="4" fillId="4" borderId="21" xfId="0" applyFont="1" applyFill="1" applyBorder="1" applyAlignment="1">
      <alignment horizontal="center" vertical="center"/>
    </xf>
    <xf numFmtId="0" fontId="4" fillId="4" borderId="26" xfId="0" applyFont="1" applyFill="1" applyBorder="1" applyAlignment="1">
      <alignment horizontal="center" vertical="center"/>
    </xf>
    <xf numFmtId="0" fontId="4" fillId="4" borderId="25" xfId="0" applyFont="1" applyFill="1" applyBorder="1" applyAlignment="1">
      <alignment horizontal="center" vertical="center"/>
    </xf>
    <xf numFmtId="0" fontId="4" fillId="4" borderId="18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 wrapText="1"/>
    </xf>
    <xf numFmtId="0" fontId="6" fillId="4" borderId="18" xfId="0" applyFont="1" applyFill="1" applyBorder="1" applyAlignment="1">
      <alignment horizontal="center" vertical="center"/>
    </xf>
    <xf numFmtId="0" fontId="4" fillId="4" borderId="4" xfId="0" applyFont="1" applyFill="1" applyBorder="1" applyAlignment="1">
      <alignment horizontal="center" vertical="center"/>
    </xf>
    <xf numFmtId="0" fontId="6" fillId="4" borderId="34" xfId="0" applyFont="1" applyFill="1" applyBorder="1" applyAlignment="1">
      <alignment horizontal="center" vertical="center" wrapText="1"/>
    </xf>
    <xf numFmtId="0" fontId="3" fillId="4" borderId="18" xfId="0" applyFont="1" applyFill="1" applyBorder="1" applyAlignment="1">
      <alignment horizontal="center" vertical="center"/>
    </xf>
    <xf numFmtId="0" fontId="3" fillId="4" borderId="6" xfId="0" applyFont="1" applyFill="1" applyBorder="1" applyAlignment="1">
      <alignment horizontal="center" vertical="center"/>
    </xf>
    <xf numFmtId="0" fontId="11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5" fontId="2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center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0" xfId="0" applyFont="1"/>
    <xf numFmtId="0" fontId="2" fillId="0" borderId="5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/>
    </xf>
    <xf numFmtId="165" fontId="2" fillId="0" borderId="5" xfId="0" applyNumberFormat="1" applyFont="1" applyBorder="1" applyAlignment="1">
      <alignment horizontal="right" vertical="center"/>
    </xf>
    <xf numFmtId="164" fontId="2" fillId="0" borderId="5" xfId="0" applyNumberFormat="1" applyFont="1" applyBorder="1" applyAlignment="1">
      <alignment horizontal="center" vertical="center"/>
    </xf>
    <xf numFmtId="4" fontId="2" fillId="0" borderId="5" xfId="0" applyNumberFormat="1" applyFont="1" applyBorder="1" applyAlignment="1">
      <alignment horizontal="right" vertical="center"/>
    </xf>
    <xf numFmtId="0" fontId="5" fillId="0" borderId="0" xfId="0" applyFont="1" applyAlignment="1">
      <alignment horizontal="right" vertical="center"/>
    </xf>
    <xf numFmtId="0" fontId="9" fillId="0" borderId="38" xfId="0" applyFont="1" applyBorder="1"/>
    <xf numFmtId="0" fontId="9" fillId="0" borderId="0" xfId="0" applyFont="1"/>
    <xf numFmtId="0" fontId="5" fillId="0" borderId="0" xfId="0" applyFont="1" applyAlignment="1">
      <alignment horizontal="center" vertical="center"/>
    </xf>
    <xf numFmtId="0" fontId="4" fillId="4" borderId="6" xfId="0" applyFont="1" applyFill="1" applyBorder="1" applyAlignment="1">
      <alignment horizontal="center" vertical="center" wrapText="1"/>
    </xf>
    <xf numFmtId="0" fontId="9" fillId="0" borderId="38" xfId="0" applyFont="1" applyBorder="1" applyAlignment="1">
      <alignment wrapText="1"/>
    </xf>
    <xf numFmtId="0" fontId="9" fillId="0" borderId="0" xfId="0" applyFont="1" applyAlignment="1">
      <alignment wrapText="1"/>
    </xf>
    <xf numFmtId="4" fontId="5" fillId="0" borderId="1" xfId="0" applyNumberFormat="1" applyFont="1" applyBorder="1" applyAlignment="1">
      <alignment horizontal="center" vertical="center"/>
    </xf>
    <xf numFmtId="4" fontId="5" fillId="0" borderId="1" xfId="0" applyNumberFormat="1" applyFont="1" applyBorder="1" applyAlignment="1">
      <alignment horizontal="center" vertical="center" wrapText="1"/>
    </xf>
    <xf numFmtId="4" fontId="5" fillId="0" borderId="13" xfId="0" applyNumberFormat="1" applyFont="1" applyBorder="1" applyAlignment="1">
      <alignment horizontal="center" vertical="center"/>
    </xf>
    <xf numFmtId="164" fontId="5" fillId="6" borderId="8" xfId="0" applyNumberFormat="1" applyFont="1" applyFill="1" applyBorder="1" applyAlignment="1">
      <alignment horizontal="center" vertical="center" wrapText="1"/>
    </xf>
    <xf numFmtId="164" fontId="5" fillId="6" borderId="8" xfId="0" applyNumberFormat="1" applyFont="1" applyFill="1" applyBorder="1" applyAlignment="1">
      <alignment horizontal="center" vertical="center"/>
    </xf>
    <xf numFmtId="164" fontId="5" fillId="6" borderId="15" xfId="0" applyNumberFormat="1" applyFont="1" applyFill="1" applyBorder="1" applyAlignment="1">
      <alignment horizontal="center" vertical="center"/>
    </xf>
    <xf numFmtId="0" fontId="4" fillId="4" borderId="3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/>
    </xf>
    <xf numFmtId="164" fontId="5" fillId="4" borderId="8" xfId="0" applyNumberFormat="1" applyFont="1" applyFill="1" applyBorder="1" applyAlignment="1">
      <alignment horizontal="center" vertical="center"/>
    </xf>
    <xf numFmtId="4" fontId="5" fillId="0" borderId="5" xfId="0" applyNumberFormat="1" applyFont="1" applyBorder="1" applyAlignment="1">
      <alignment horizontal="center" vertical="center"/>
    </xf>
    <xf numFmtId="164" fontId="5" fillId="6" borderId="9" xfId="0" applyNumberFormat="1" applyFont="1" applyFill="1" applyBorder="1" applyAlignment="1">
      <alignment horizontal="center" vertical="center"/>
    </xf>
    <xf numFmtId="4" fontId="5" fillId="0" borderId="22" xfId="0" applyNumberFormat="1" applyFont="1" applyBorder="1" applyAlignment="1">
      <alignment horizontal="center" vertical="center"/>
    </xf>
    <xf numFmtId="0" fontId="4" fillId="4" borderId="10" xfId="0" applyFont="1" applyFill="1" applyBorder="1" applyAlignment="1">
      <alignment horizontal="center" vertical="center" wrapText="1"/>
    </xf>
    <xf numFmtId="0" fontId="5" fillId="4" borderId="11" xfId="0" applyFont="1" applyFill="1" applyBorder="1" applyAlignment="1">
      <alignment horizontal="center" vertical="center" wrapText="1"/>
    </xf>
    <xf numFmtId="4" fontId="5" fillId="4" borderId="1" xfId="0" applyNumberFormat="1" applyFont="1" applyFill="1" applyBorder="1" applyAlignment="1">
      <alignment horizontal="center" vertical="center" wrapText="1"/>
    </xf>
    <xf numFmtId="164" fontId="5" fillId="4" borderId="8" xfId="0" applyNumberFormat="1" applyFont="1" applyFill="1" applyBorder="1" applyAlignment="1">
      <alignment horizontal="center" vertical="center" wrapText="1"/>
    </xf>
    <xf numFmtId="0" fontId="3" fillId="4" borderId="10" xfId="0" applyFont="1" applyFill="1" applyBorder="1" applyAlignment="1">
      <alignment horizontal="center" vertical="center" wrapText="1"/>
    </xf>
    <xf numFmtId="0" fontId="5" fillId="4" borderId="23" xfId="0" applyFont="1" applyFill="1" applyBorder="1" applyAlignment="1">
      <alignment horizontal="center" vertical="center" wrapText="1"/>
    </xf>
    <xf numFmtId="0" fontId="5" fillId="0" borderId="0" xfId="0" applyFont="1" applyAlignment="1">
      <alignment vertical="center"/>
    </xf>
    <xf numFmtId="0" fontId="7" fillId="4" borderId="33" xfId="0" applyFont="1" applyFill="1" applyBorder="1" applyAlignment="1">
      <alignment horizontal="center" vertical="center" wrapText="1"/>
    </xf>
    <xf numFmtId="0" fontId="7" fillId="4" borderId="30" xfId="0" applyFont="1" applyFill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3" xfId="0" applyFont="1" applyBorder="1" applyAlignment="1">
      <alignment vertical="center" wrapText="1"/>
    </xf>
    <xf numFmtId="0" fontId="6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165" fontId="2" fillId="0" borderId="13" xfId="0" applyNumberFormat="1" applyFont="1" applyBorder="1" applyAlignment="1">
      <alignment horizontal="right" vertical="center"/>
    </xf>
    <xf numFmtId="164" fontId="2" fillId="0" borderId="13" xfId="0" applyNumberFormat="1" applyFont="1" applyBorder="1" applyAlignment="1">
      <alignment horizontal="center" vertical="center"/>
    </xf>
    <xf numFmtId="4" fontId="2" fillId="0" borderId="13" xfId="0" applyNumberFormat="1" applyFont="1" applyBorder="1" applyAlignment="1">
      <alignment horizontal="right" vertical="center"/>
    </xf>
    <xf numFmtId="0" fontId="10" fillId="0" borderId="0" xfId="0" applyFont="1" applyAlignment="1">
      <alignment vertical="center"/>
    </xf>
    <xf numFmtId="0" fontId="6" fillId="4" borderId="18" xfId="0" applyFont="1" applyFill="1" applyBorder="1" applyAlignment="1">
      <alignment horizontal="center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1" fillId="4" borderId="6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 wrapText="1"/>
    </xf>
    <xf numFmtId="4" fontId="1" fillId="0" borderId="1" xfId="0" applyNumberFormat="1" applyFont="1" applyBorder="1" applyAlignment="1">
      <alignment horizontal="center" vertical="center"/>
    </xf>
    <xf numFmtId="0" fontId="1" fillId="0" borderId="0" xfId="0" applyFont="1"/>
    <xf numFmtId="4" fontId="1" fillId="0" borderId="5" xfId="0" applyNumberFormat="1" applyFont="1" applyBorder="1" applyAlignment="1">
      <alignment horizontal="center" vertical="center"/>
    </xf>
    <xf numFmtId="164" fontId="1" fillId="6" borderId="9" xfId="0" applyNumberFormat="1" applyFont="1" applyFill="1" applyBorder="1" applyAlignment="1">
      <alignment horizontal="center" vertical="center"/>
    </xf>
    <xf numFmtId="0" fontId="6" fillId="4" borderId="24" xfId="0" applyFont="1" applyFill="1" applyBorder="1" applyAlignment="1">
      <alignment horizontal="center" vertical="center"/>
    </xf>
    <xf numFmtId="0" fontId="12" fillId="0" borderId="38" xfId="0" applyFont="1" applyBorder="1"/>
    <xf numFmtId="0" fontId="12" fillId="0" borderId="0" xfId="0" applyFont="1"/>
    <xf numFmtId="0" fontId="6" fillId="0" borderId="0" xfId="0" applyFont="1"/>
    <xf numFmtId="0" fontId="1" fillId="4" borderId="25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 wrapText="1"/>
    </xf>
    <xf numFmtId="0" fontId="6" fillId="0" borderId="0" xfId="0" applyFont="1" applyAlignment="1">
      <alignment wrapText="1"/>
    </xf>
    <xf numFmtId="0" fontId="4" fillId="4" borderId="21" xfId="0" applyFont="1" applyFill="1" applyBorder="1" applyAlignment="1">
      <alignment horizontal="center" vertical="center" wrapText="1"/>
    </xf>
    <xf numFmtId="0" fontId="13" fillId="0" borderId="0" xfId="0" applyFont="1"/>
    <xf numFmtId="0" fontId="8" fillId="0" borderId="0" xfId="0" applyFont="1"/>
    <xf numFmtId="164" fontId="1" fillId="6" borderId="8" xfId="0" applyNumberFormat="1" applyFont="1" applyFill="1" applyBorder="1" applyAlignment="1">
      <alignment horizontal="center" vertical="center"/>
    </xf>
    <xf numFmtId="0" fontId="8" fillId="4" borderId="6" xfId="0" applyFont="1" applyFill="1" applyBorder="1" applyAlignment="1">
      <alignment horizontal="center" vertical="center"/>
    </xf>
    <xf numFmtId="0" fontId="3" fillId="4" borderId="35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/>
    </xf>
    <xf numFmtId="0" fontId="1" fillId="4" borderId="6" xfId="0" applyFont="1" applyFill="1" applyBorder="1" applyAlignment="1">
      <alignment horizontal="center" vertical="center" wrapText="1"/>
    </xf>
    <xf numFmtId="0" fontId="14" fillId="0" borderId="0" xfId="0" quotePrefix="1" applyFont="1" applyAlignment="1">
      <alignment horizontal="center"/>
    </xf>
    <xf numFmtId="164" fontId="0" fillId="0" borderId="0" xfId="0" applyNumberFormat="1"/>
    <xf numFmtId="0" fontId="6" fillId="4" borderId="3" xfId="0" applyFont="1" applyFill="1" applyBorder="1" applyAlignment="1">
      <alignment horizontal="left" vertical="center" wrapText="1"/>
    </xf>
    <xf numFmtId="0" fontId="1" fillId="4" borderId="1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horizontal="right" vertical="center" wrapText="1"/>
    </xf>
    <xf numFmtId="0" fontId="8" fillId="4" borderId="1" xfId="0" applyFont="1" applyFill="1" applyBorder="1" applyAlignment="1">
      <alignment horizontal="right" vertical="center"/>
    </xf>
    <xf numFmtId="0" fontId="1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right" vertical="center" wrapText="1"/>
    </xf>
    <xf numFmtId="0" fontId="6" fillId="4" borderId="10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right" vertical="center" wrapText="1"/>
    </xf>
    <xf numFmtId="0" fontId="8" fillId="4" borderId="28" xfId="0" applyFont="1" applyFill="1" applyBorder="1" applyAlignment="1">
      <alignment horizontal="right" vertical="center" wrapText="1"/>
    </xf>
    <xf numFmtId="0" fontId="6" fillId="4" borderId="29" xfId="0" applyFont="1" applyFill="1" applyBorder="1" applyAlignment="1">
      <alignment horizontal="left" vertical="center" wrapText="1"/>
    </xf>
    <xf numFmtId="0" fontId="1" fillId="4" borderId="16" xfId="0" applyFont="1" applyFill="1" applyBorder="1" applyAlignment="1">
      <alignment horizontal="center" vertical="center" wrapText="1"/>
    </xf>
    <xf numFmtId="0" fontId="8" fillId="4" borderId="13" xfId="0" applyFont="1" applyFill="1" applyBorder="1" applyAlignment="1">
      <alignment horizontal="left" vertical="center" wrapText="1"/>
    </xf>
    <xf numFmtId="0" fontId="6" fillId="4" borderId="27" xfId="0" applyFont="1" applyFill="1" applyBorder="1" applyAlignment="1">
      <alignment horizontal="left" vertical="center" wrapText="1"/>
    </xf>
    <xf numFmtId="0" fontId="8" fillId="4" borderId="1" xfId="0" applyFont="1" applyFill="1" applyBorder="1" applyAlignment="1">
      <alignment vertical="center" wrapText="1"/>
    </xf>
    <xf numFmtId="0" fontId="8" fillId="4" borderId="5" xfId="0" applyFont="1" applyFill="1" applyBorder="1" applyAlignment="1">
      <alignment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6" fillId="4" borderId="3" xfId="0" applyFont="1" applyFill="1" applyBorder="1" applyAlignment="1">
      <alignment horizontal="left" vertical="center"/>
    </xf>
    <xf numFmtId="0" fontId="6" fillId="4" borderId="3" xfId="0" applyFont="1" applyFill="1" applyBorder="1" applyAlignment="1">
      <alignment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8" fillId="4" borderId="1" xfId="0" applyFont="1" applyFill="1" applyBorder="1" applyAlignment="1">
      <alignment horizontal="left" vertical="center"/>
    </xf>
    <xf numFmtId="0" fontId="8" fillId="4" borderId="5" xfId="0" applyFont="1" applyFill="1" applyBorder="1" applyAlignment="1">
      <alignment horizontal="left" vertical="center"/>
    </xf>
    <xf numFmtId="0" fontId="8" fillId="4" borderId="22" xfId="0" applyFont="1" applyFill="1" applyBorder="1" applyAlignment="1">
      <alignment horizontal="left" vertical="center" wrapText="1"/>
    </xf>
    <xf numFmtId="0" fontId="6" fillId="4" borderId="19" xfId="0" applyFont="1" applyFill="1" applyBorder="1" applyAlignment="1">
      <alignment horizontal="left" vertical="center" wrapText="1"/>
    </xf>
    <xf numFmtId="0" fontId="6" fillId="4" borderId="17" xfId="0" applyFont="1" applyFill="1" applyBorder="1" applyAlignment="1">
      <alignment horizontal="left" vertical="center" wrapText="1"/>
    </xf>
    <xf numFmtId="0" fontId="6" fillId="4" borderId="20" xfId="0" applyFont="1" applyFill="1" applyBorder="1" applyAlignment="1">
      <alignment horizontal="left" vertical="center" wrapText="1"/>
    </xf>
    <xf numFmtId="0" fontId="8" fillId="4" borderId="16" xfId="0" applyFont="1" applyFill="1" applyBorder="1" applyAlignment="1">
      <alignment horizontal="left" vertical="center" wrapText="1"/>
    </xf>
    <xf numFmtId="0" fontId="8" fillId="4" borderId="28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wrapText="1"/>
    </xf>
    <xf numFmtId="0" fontId="6" fillId="4" borderId="27" xfId="0" applyFont="1" applyFill="1" applyBorder="1" applyAlignment="1">
      <alignment vertical="center" wrapText="1"/>
    </xf>
    <xf numFmtId="0" fontId="7" fillId="2" borderId="12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4" borderId="31" xfId="0" applyFont="1" applyFill="1" applyBorder="1" applyAlignment="1">
      <alignment horizontal="center" vertical="center" wrapText="1"/>
    </xf>
    <xf numFmtId="0" fontId="7" fillId="4" borderId="32" xfId="0" applyFont="1" applyFill="1" applyBorder="1" applyAlignment="1">
      <alignment horizontal="center" vertical="center" wrapText="1"/>
    </xf>
    <xf numFmtId="0" fontId="10" fillId="0" borderId="36" xfId="0" applyFont="1" applyBorder="1" applyAlignment="1">
      <alignment horizontal="center" vertical="center"/>
    </xf>
    <xf numFmtId="0" fontId="14" fillId="3" borderId="13" xfId="0" applyFont="1" applyFill="1" applyBorder="1" applyAlignment="1" applyProtection="1">
      <alignment horizontal="center" vertical="center" wrapText="1"/>
      <protection locked="0"/>
    </xf>
    <xf numFmtId="0" fontId="14" fillId="3" borderId="35" xfId="0" applyFont="1" applyFill="1" applyBorder="1" applyAlignment="1" applyProtection="1">
      <alignment horizontal="center" vertical="center" wrapText="1"/>
      <protection locked="0"/>
    </xf>
    <xf numFmtId="0" fontId="14" fillId="3" borderId="22" xfId="0" applyFont="1" applyFill="1" applyBorder="1" applyAlignment="1" applyProtection="1">
      <alignment horizontal="center" vertical="center" wrapText="1"/>
      <protection locked="0"/>
    </xf>
    <xf numFmtId="4" fontId="6" fillId="0" borderId="13" xfId="0" applyNumberFormat="1" applyFont="1" applyBorder="1" applyAlignment="1">
      <alignment horizontal="center" vertical="center"/>
    </xf>
    <xf numFmtId="4" fontId="6" fillId="0" borderId="35" xfId="0" applyNumberFormat="1" applyFont="1" applyBorder="1" applyAlignment="1">
      <alignment horizontal="center" vertical="center"/>
    </xf>
    <xf numFmtId="4" fontId="6" fillId="0" borderId="22" xfId="0" applyNumberFormat="1" applyFont="1" applyBorder="1" applyAlignment="1">
      <alignment horizontal="center" vertical="center"/>
    </xf>
    <xf numFmtId="4" fontId="6" fillId="3" borderId="15" xfId="0" applyNumberFormat="1" applyFont="1" applyFill="1" applyBorder="1" applyAlignment="1" applyProtection="1">
      <alignment horizontal="center" vertical="center"/>
      <protection locked="0"/>
    </xf>
    <xf numFmtId="4" fontId="6" fillId="3" borderId="23" xfId="0" applyNumberFormat="1" applyFont="1" applyFill="1" applyBorder="1" applyAlignment="1" applyProtection="1">
      <alignment horizontal="center" vertical="center"/>
      <protection locked="0"/>
    </xf>
    <xf numFmtId="4" fontId="6" fillId="3" borderId="37" xfId="0" applyNumberFormat="1" applyFont="1" applyFill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left" vertical="center" wrapText="1"/>
    </xf>
    <xf numFmtId="0" fontId="6" fillId="0" borderId="39" xfId="0" applyFont="1" applyBorder="1" applyAlignment="1">
      <alignment horizontal="right" vertical="center" wrapText="1"/>
    </xf>
    <xf numFmtId="0" fontId="0" fillId="0" borderId="1" xfId="0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</cellXfs>
  <cellStyles count="1">
    <cellStyle name="Звичайний" xfId="0" builtinId="0"/>
  </cellStyles>
  <dxfs count="33"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>
          <bgColor rgb="FFFF0000"/>
        </patternFill>
      </fill>
    </dxf>
    <dxf>
      <fill>
        <patternFill>
          <bgColor theme="6" tint="0.59996337778862885"/>
        </patternFill>
      </fill>
    </dxf>
  </dxfs>
  <tableStyles count="0" defaultTableStyle="TableStyleMedium2" defaultPivotStyle="PivotStyleLight16"/>
  <colors>
    <mruColors>
      <color rgb="FFFF7575"/>
      <color rgb="FFCC72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L206"/>
  <sheetViews>
    <sheetView tabSelected="1" topLeftCell="A28" zoomScale="85" zoomScaleNormal="85" workbookViewId="0">
      <selection activeCell="I33" sqref="I33"/>
    </sheetView>
  </sheetViews>
  <sheetFormatPr defaultColWidth="0" defaultRowHeight="15" zeroHeight="1" x14ac:dyDescent="0.25"/>
  <cols>
    <col min="1" max="1" width="8.7109375" style="10" customWidth="1"/>
    <col min="2" max="2" width="60.7109375" style="75" customWidth="1"/>
    <col min="3" max="3" width="12.7109375" style="75" customWidth="1"/>
    <col min="4" max="4" width="10.7109375" style="75" customWidth="1"/>
    <col min="5" max="5" width="9.7109375" style="75" customWidth="1"/>
    <col min="6" max="6" width="8.7109375" style="75" customWidth="1"/>
    <col min="7" max="7" width="15.7109375" style="75" customWidth="1"/>
    <col min="8" max="8" width="10.7109375" style="75" customWidth="1"/>
    <col min="9" max="11" width="15.7109375" style="10" customWidth="1"/>
    <col min="12" max="12" width="0" style="10" hidden="1" customWidth="1"/>
    <col min="13" max="16384" width="9.140625" style="10" hidden="1"/>
  </cols>
  <sheetData>
    <row r="1" spans="1:11" ht="39.950000000000003" customHeight="1" thickBot="1" x14ac:dyDescent="0.3">
      <c r="A1" s="151" t="s">
        <v>2</v>
      </c>
      <c r="B1" s="152"/>
      <c r="C1" s="152"/>
      <c r="D1" s="152"/>
      <c r="E1" s="152"/>
      <c r="F1" s="152"/>
      <c r="G1" s="152"/>
      <c r="H1" s="152"/>
      <c r="I1" s="152"/>
      <c r="J1" s="152"/>
      <c r="K1" s="153"/>
    </row>
    <row r="2" spans="1:11" ht="80.099999999999994" customHeight="1" x14ac:dyDescent="0.25">
      <c r="A2" s="30" t="s">
        <v>0</v>
      </c>
      <c r="B2" s="78" t="s">
        <v>17</v>
      </c>
      <c r="C2" s="78" t="s">
        <v>1</v>
      </c>
      <c r="D2" s="31" t="s">
        <v>3</v>
      </c>
      <c r="E2" s="31" t="s">
        <v>4</v>
      </c>
      <c r="F2" s="31" t="s">
        <v>8</v>
      </c>
      <c r="G2" s="31" t="s">
        <v>16</v>
      </c>
      <c r="H2" s="31" t="s">
        <v>5</v>
      </c>
      <c r="I2" s="31" t="s">
        <v>12</v>
      </c>
      <c r="J2" s="78" t="s">
        <v>6</v>
      </c>
      <c r="K2" s="79" t="s">
        <v>7</v>
      </c>
    </row>
    <row r="3" spans="1:11" s="43" customFormat="1" ht="30" customHeight="1" x14ac:dyDescent="0.25">
      <c r="A3" s="13">
        <f>Дані!A183</f>
        <v>1</v>
      </c>
      <c r="B3" s="14" t="str">
        <f>Дані!B183</f>
        <v>Обробіток грунту</v>
      </c>
      <c r="C3" s="157" t="s">
        <v>11</v>
      </c>
      <c r="D3" s="5" t="str">
        <f>IF($E3="-", "ні", "так")</f>
        <v>ні</v>
      </c>
      <c r="E3" s="38" t="str">
        <f>IF(C$3="-", "-",
  IF(C$3=1, Дані!$D183,
    IF(C$3=2, Дані!$E183,
      IF(C$3=3, Дані!$F183,
        IF(C$3=4, Дані!$G183,
          IF(C$3=5, Дані!$H183,
            IF(C$3=6, Дані!$I183,
              IF(C$3=7, Дані!$J183,
                IF(C$3=8, Дані!$K183,
                  IF(C$3=9, Дані!$L183,
                    IF(C$3=10, Дані!$M183, "")
                  )
                )
              )
            )
          )
        )
      )
    )
  )
)</f>
        <v>-</v>
      </c>
      <c r="F3" s="39" t="str">
        <f>Дані!C183</f>
        <v>м2</v>
      </c>
      <c r="G3" s="40" t="str">
        <f>IFERROR(ROUND(I3/E3,6),"-")</f>
        <v>-</v>
      </c>
      <c r="H3" s="41" t="str">
        <f>IF(C$3="-", "-",
  IF(C$3=1, Дані!$D249,
    IF(C$3=2, Дані!$E249,
      IF(C$3=3, Дані!$F249,
        IF(C$3=4, Дані!$G249,
          IF(C$3=5, Дані!$H249,
            IF(C$3=6, Дані!$I249,
              IF(C$3=7, Дані!$J249,
                IF(C$3=8, Дані!$K249,
                  IF(C$3=9, Дані!$L249,
                    IF(C$3=10, Дані!$M249, "")
                  )
                )
              )
            )
          )
        )
      )
    )
  )
)</f>
        <v>-</v>
      </c>
      <c r="I3" s="42" t="str">
        <f>IFERROR(IF(OR(H3="-", H3=0), "-", IF(COUNTIF(H4:$H$31,"&gt;0")=0, K$3-SUMIF($I$2:I2,"&gt;0"), ROUND(K$3*H3, 2))), "-")</f>
        <v>-</v>
      </c>
      <c r="J3" s="160" t="str">
        <f>IF(C3="-", "-",
  IF(C3=1, Дані!D244,
    IF(C3=2, Дані!E244,
      IF(C3=3, Дані!F244,
        IF(C3=4, Дані!G244,
          IF(C3=5, Дані!H244,
            IF(C3=6, Дані!I244,
              IF(C3=7, Дані!J244,
                IF(C3=8,Дані!K244,
                  IF(C3=9, Дані!L244,
                    IF(C3=10, Дані!M244, "")
                  )
                )
              )
            )
          )
        )
      )
    )
  )
)</f>
        <v>-</v>
      </c>
      <c r="K3" s="163"/>
    </row>
    <row r="4" spans="1:11" s="43" customFormat="1" ht="30" customHeight="1" x14ac:dyDescent="0.25">
      <c r="A4" s="13">
        <f>Дані!A184</f>
        <v>2</v>
      </c>
      <c r="B4" s="14" t="str">
        <f>Дані!B184</f>
        <v>Перекопування та планування обробленого ґрунту</v>
      </c>
      <c r="C4" s="158"/>
      <c r="D4" s="5" t="str">
        <f t="shared" ref="D4:D30" si="0">IF($E4="-", "ні", "так")</f>
        <v>ні</v>
      </c>
      <c r="E4" s="38" t="str">
        <f>IF(C$3="-", "-",
  IF(C$3=1, Дані!$D184,
    IF(C$3=2, Дані!$E184,
      IF(C$3=3, Дані!$F184,
        IF(C$3=4, Дані!$G184,
          IF(C$3=5, Дані!$H184,
            IF(C$3=6, Дані!$I184,
              IF(C$3=7, Дані!$J184,
                IF(C$3=8, Дані!$K184,
                  IF(C$3=9, Дані!$L184,
                    IF(C$3=10, Дані!$M184, "")
                  )
                )
              )
            )
          )
        )
      )
    )
  )
)</f>
        <v>-</v>
      </c>
      <c r="F4" s="39" t="str">
        <f>Дані!C184</f>
        <v>м2</v>
      </c>
      <c r="G4" s="40" t="str">
        <f t="shared" ref="G4:G30" si="1">IFERROR(ROUND(I4/E4,6),"-")</f>
        <v>-</v>
      </c>
      <c r="H4" s="41" t="str">
        <f>IF(C$3="-", "-",
  IF(C$3=1, Дані!$D250,
    IF(C$3=2, Дані!$E250,
      IF(C$3=3, Дані!$F250,
        IF(C$3=4, Дані!$G250,
          IF(C$3=5, Дані!$H250,
            IF(C$3=6, Дані!$I250,
              IF(C$3=7, Дані!$J250,
                IF(C$3=8, Дані!$K250,
                  IF(C$3=9, Дані!$L250,
                    IF(C$3=10, Дані!$M250, "")
                  )
                )
              )
            )
          )
        )
      )
    )
  )
)</f>
        <v>-</v>
      </c>
      <c r="I4" s="42" t="str">
        <f>IFERROR(IF(OR(H4="-", H4=0), "-", IF(COUNTIF(H5:$H$31,"&gt;0")=0, K$3-SUMIF($I$2:I3,"&gt;0"), ROUND(K$3*H4, 2))), "-")</f>
        <v>-</v>
      </c>
      <c r="J4" s="161"/>
      <c r="K4" s="164"/>
    </row>
    <row r="5" spans="1:11" s="43" customFormat="1" ht="30" customHeight="1" x14ac:dyDescent="0.25">
      <c r="A5" s="13">
        <f>Дані!A185</f>
        <v>3</v>
      </c>
      <c r="B5" s="14" t="str">
        <f>Дані!B185</f>
        <v>Підготовка насіння до висівання</v>
      </c>
      <c r="C5" s="158"/>
      <c r="D5" s="5" t="str">
        <f t="shared" si="0"/>
        <v>ні</v>
      </c>
      <c r="E5" s="38" t="str">
        <f>IF(C$3="-", "-",
  IF(C$3=1, Дані!$D185,
    IF(C$3=2, Дані!$E185,
      IF(C$3=3, Дані!$F185,
        IF(C$3=4, Дані!$G185,
          IF(C$3=5, Дані!$H185,
            IF(C$3=6, Дані!$I185,
              IF(C$3=7, Дані!$J185,
                IF(C$3=8, Дані!$K185,
                  IF(C$3=9, Дані!$L185,
                    IF(C$3=10, Дані!$M185, "")
                  )
                )
              )
            )
          )
        )
      )
    )
  )
)</f>
        <v>-</v>
      </c>
      <c r="F5" s="39" t="str">
        <f>Дані!C185</f>
        <v>кг</v>
      </c>
      <c r="G5" s="40" t="str">
        <f t="shared" si="1"/>
        <v>-</v>
      </c>
      <c r="H5" s="41" t="str">
        <f>IF(C$3="-", "-",
  IF(C$3=1, Дані!$D251,
    IF(C$3=2, Дані!$E251,
      IF(C$3=3, Дані!$F251,
        IF(C$3=4, Дані!$G251,
          IF(C$3=5, Дані!$H251,
            IF(C$3=6, Дані!$I251,
              IF(C$3=7, Дані!$J251,
                IF(C$3=8, Дані!$K251,
                  IF(C$3=9, Дані!$L251,
                    IF(C$3=10, Дані!$M251, "")
                  )
                )
              )
            )
          )
        )
      )
    )
  )
)</f>
        <v>-</v>
      </c>
      <c r="I5" s="42" t="str">
        <f>IFERROR(IF(OR(H5="-", H5=0), "-", IF(COUNTIF(H6:$H$31,"&gt;0")=0, K$3-SUMIF($I$2:I4,"&gt;0"), ROUND(K$3*H5, 2))), "-")</f>
        <v>-</v>
      </c>
      <c r="J5" s="161"/>
      <c r="K5" s="164"/>
    </row>
    <row r="6" spans="1:11" s="43" customFormat="1" ht="30" customHeight="1" x14ac:dyDescent="0.25">
      <c r="A6" s="13">
        <f>Дані!A186</f>
        <v>4</v>
      </c>
      <c r="B6" s="14" t="str">
        <f>Дані!B186</f>
        <v>Стратифікація, зволоження та протруювання насіння</v>
      </c>
      <c r="C6" s="158"/>
      <c r="D6" s="5" t="str">
        <f t="shared" si="0"/>
        <v>ні</v>
      </c>
      <c r="E6" s="38" t="str">
        <f>IF(C$3="-", "-",
  IF(C$3=1, Дані!$D186,
    IF(C$3=2, Дані!$E186,
      IF(C$3=3, Дані!$F186,
        IF(C$3=4, Дані!$G186,
          IF(C$3=5, Дані!$H186,
            IF(C$3=6, Дані!$I186,
              IF(C$3=7, Дані!$J186,
                IF(C$3=8, Дані!$K186,
                  IF(C$3=9, Дані!$L186,
                    IF(C$3=10, Дані!$M186, "")
                  )
                )
              )
            )
          )
        )
      )
    )
  )
)</f>
        <v>-</v>
      </c>
      <c r="F6" s="38" t="str">
        <f>Дані!C186</f>
        <v>кг</v>
      </c>
      <c r="G6" s="40" t="str">
        <f t="shared" si="1"/>
        <v>-</v>
      </c>
      <c r="H6" s="41" t="str">
        <f>IF(C$3="-", "-",
  IF(C$3=1, Дані!$D252,
    IF(C$3=2, Дані!$E252,
      IF(C$3=3, Дані!$F252,
        IF(C$3=4, Дані!$G252,
          IF(C$3=5, Дані!$H252,
            IF(C$3=6, Дані!$I252,
              IF(C$3=7, Дані!$J252,
                IF(C$3=8, Дані!$K252,
                  IF(C$3=9, Дані!$L252,
                    IF(C$3=10, Дані!$M252, "")
                  )
                )
              )
            )
          )
        )
      )
    )
  )
)</f>
        <v>-</v>
      </c>
      <c r="I6" s="42" t="str">
        <f>IFERROR(IF(OR(H6="-", H6=0), "-", IF(COUNTIF(H7:$H$31,"&gt;0")=0, K$3-SUMIF($I$2:I5,"&gt;0"), ROUND(K$3*H6, 2))), "-")</f>
        <v>-</v>
      </c>
      <c r="J6" s="161"/>
      <c r="K6" s="164"/>
    </row>
    <row r="7" spans="1:11" s="43" customFormat="1" ht="30" customHeight="1" x14ac:dyDescent="0.25">
      <c r="A7" s="13">
        <f>Дані!A187</f>
        <v>5</v>
      </c>
      <c r="B7" s="14" t="str">
        <f>Дані!B187</f>
        <v>Снігування насіння</v>
      </c>
      <c r="C7" s="158"/>
      <c r="D7" s="5" t="str">
        <f t="shared" si="0"/>
        <v>ні</v>
      </c>
      <c r="E7" s="38" t="str">
        <f>IF(C$3="-", "-",
  IF(C$3=1, Дані!$D187,
    IF(C$3=2, Дані!$E187,
      IF(C$3=3, Дані!$F187,
        IF(C$3=4, Дані!$G187,
          IF(C$3=5, Дані!$H187,
            IF(C$3=6, Дані!$I187,
              IF(C$3=7, Дані!$J187,
                IF(C$3=8, Дані!$K187,
                  IF(C$3=9, Дані!$L187,
                    IF(C$3=10, Дані!$M187, "")
                  )
                )
              )
            )
          )
        )
      )
    )
  )
)</f>
        <v>-</v>
      </c>
      <c r="F7" s="38" t="str">
        <f>Дані!C187</f>
        <v>кг</v>
      </c>
      <c r="G7" s="40" t="str">
        <f t="shared" si="1"/>
        <v>-</v>
      </c>
      <c r="H7" s="41" t="str">
        <f>IF(C$3="-", "-",
  IF(C$3=1, Дані!$D253,
    IF(C$3=2, Дані!$E253,
      IF(C$3=3, Дані!$F253,
        IF(C$3=4, Дані!$G253,
          IF(C$3=5, Дані!$H253,
            IF(C$3=6, Дані!$I253,
              IF(C$3=7, Дані!$J253,
                IF(C$3=8, Дані!$K253,
                  IF(C$3=9, Дані!$L253,
                    IF(C$3=10, Дані!$M253, "")
                  )
                )
              )
            )
          )
        )
      )
    )
  )
)</f>
        <v>-</v>
      </c>
      <c r="I7" s="42" t="str">
        <f>IFERROR(IF(OR(H7="-", H7=0), "-", IF(COUNTIF(H8:$H$31,"&gt;0")=0, K$3-SUMIF($I$2:I6,"&gt;0"), ROUND(K$3*H7, 2))), "-")</f>
        <v>-</v>
      </c>
      <c r="J7" s="161"/>
      <c r="K7" s="164"/>
    </row>
    <row r="8" spans="1:11" s="43" customFormat="1" ht="30" customHeight="1" x14ac:dyDescent="0.25">
      <c r="A8" s="13">
        <f>Дані!A188</f>
        <v>6</v>
      </c>
      <c r="B8" s="14" t="str">
        <f>Дані!B188</f>
        <v>Заготівля снігу та льоду для снігування насіння з піднесенням до 50 м</v>
      </c>
      <c r="C8" s="158"/>
      <c r="D8" s="5" t="str">
        <f t="shared" si="0"/>
        <v>ні</v>
      </c>
      <c r="E8" s="38" t="str">
        <f>IF(C$3="-", "-",
  IF(C$3=1, Дані!$D188,
    IF(C$3=2, Дані!$E188,
      IF(C$3=3, Дані!$F188,
        IF(C$3=4, Дані!$G188,
          IF(C$3=5, Дані!$H188,
            IF(C$3=6, Дані!$I188,
              IF(C$3=7, Дані!$J188,
                IF(C$3=8, Дані!$K188,
                  IF(C$3=9, Дані!$L188,
                    IF(C$3=10, Дані!$M188, "")
                  )
                )
              )
            )
          )
        )
      )
    )
  )
)</f>
        <v>-</v>
      </c>
      <c r="F8" s="39" t="str">
        <f>Дані!C188</f>
        <v>м3</v>
      </c>
      <c r="G8" s="40" t="str">
        <f t="shared" si="1"/>
        <v>-</v>
      </c>
      <c r="H8" s="41" t="str">
        <f>IF(C$3="-", "-",
  IF(C$3=1, Дані!$D254,
    IF(C$3=2, Дані!$E254,
      IF(C$3=3, Дані!$F254,
        IF(C$3=4, Дані!$G254,
          IF(C$3=5, Дані!$H254,
            IF(C$3=6, Дані!$I254,
              IF(C$3=7, Дані!$J254,
                IF(C$3=8, Дані!$K254,
                  IF(C$3=9, Дані!$L254,
                    IF(C$3=10, Дані!$M254, "")
                  )
                )
              )
            )
          )
        )
      )
    )
  )
)</f>
        <v>-</v>
      </c>
      <c r="I8" s="42" t="str">
        <f>IFERROR(IF(OR(H8="-", H8=0), "-", IF(COUNTIF(H9:$H$31,"&gt;0")=0, K$3-SUMIF($I$2:I7,"&gt;0"), ROUND(K$3*H8, 2))), "-")</f>
        <v>-</v>
      </c>
      <c r="J8" s="161"/>
      <c r="K8" s="164"/>
    </row>
    <row r="9" spans="1:11" s="43" customFormat="1" ht="30" customHeight="1" x14ac:dyDescent="0.25">
      <c r="A9" s="13">
        <f>Дані!A189</f>
        <v>7</v>
      </c>
      <c r="B9" s="14" t="str">
        <f>Дані!B189</f>
        <v>Висівання насіння</v>
      </c>
      <c r="C9" s="158"/>
      <c r="D9" s="5" t="str">
        <f t="shared" si="0"/>
        <v>ні</v>
      </c>
      <c r="E9" s="38" t="str">
        <f>IF(C$3="-", "-",
  IF(C$3=1, Дані!$D189,
    IF(C$3=2, Дані!$E189,
      IF(C$3=3, Дані!$F189,
        IF(C$3=4, Дані!$G189,
          IF(C$3=5, Дані!$H189,
            IF(C$3=6, Дані!$I189,
              IF(C$3=7, Дані!$J189,
                IF(C$3=8, Дані!$K189,
                  IF(C$3=9, Дані!$L189,
                    IF(C$3=10, Дані!$M189, "")
                  )
                )
              )
            )
          )
        )
      )
    )
  )
)</f>
        <v>-</v>
      </c>
      <c r="F9" s="38" t="str">
        <f>Дані!C189</f>
        <v>тис. пог. м.</v>
      </c>
      <c r="G9" s="40" t="str">
        <f t="shared" si="1"/>
        <v>-</v>
      </c>
      <c r="H9" s="41" t="str">
        <f>IF(C$3="-", "-",
  IF(C$3=1, Дані!$D255,
    IF(C$3=2, Дані!$E255,
      IF(C$3=3, Дані!$F255,
        IF(C$3=4, Дані!$G255,
          IF(C$3=5, Дані!$H255,
            IF(C$3=6, Дані!$I255,
              IF(C$3=7, Дані!$J255,
                IF(C$3=8, Дані!$K255,
                  IF(C$3=9, Дані!$L255,
                    IF(C$3=10, Дані!$M255, "")
                  )
                )
              )
            )
          )
        )
      )
    )
  )
)</f>
        <v>-</v>
      </c>
      <c r="I9" s="42" t="str">
        <f>IFERROR(IF(OR(H9="-", H9=0), "-", IF(COUNTIF(H10:$H$31,"&gt;0")=0, K$3-SUMIF($I$2:I8,"&gt;0"), ROUND(K$3*H9, 2))), "-")</f>
        <v>-</v>
      </c>
      <c r="J9" s="161"/>
      <c r="K9" s="164"/>
    </row>
    <row r="10" spans="1:11" s="43" customFormat="1" ht="30" customHeight="1" x14ac:dyDescent="0.25">
      <c r="A10" s="13">
        <f>Дані!A190</f>
        <v>8</v>
      </c>
      <c r="B10" s="14" t="str">
        <f>Дані!B190</f>
        <v>Висівання насіння в короби та теплиці</v>
      </c>
      <c r="C10" s="158"/>
      <c r="D10" s="5" t="str">
        <f t="shared" si="0"/>
        <v>ні</v>
      </c>
      <c r="E10" s="38" t="str">
        <f>IF(C$3="-", "-",
  IF(C$3=1, Дані!$D190,
    IF(C$3=2, Дані!$E190,
      IF(C$3=3, Дані!$F190,
        IF(C$3=4, Дані!$G190,
          IF(C$3=5, Дані!$H190,
            IF(C$3=6, Дані!$I190,
              IF(C$3=7, Дані!$J190,
                IF(C$3=8, Дані!$K190,
                  IF(C$3=9, Дані!$L190,
                    IF(C$3=10, Дані!$M190, "")
                  )
                )
              )
            )
          )
        )
      )
    )
  )
)</f>
        <v>-</v>
      </c>
      <c r="F10" s="39" t="str">
        <f>Дані!C190</f>
        <v>м2</v>
      </c>
      <c r="G10" s="40" t="str">
        <f t="shared" si="1"/>
        <v>-</v>
      </c>
      <c r="H10" s="41" t="str">
        <f>IF(C$3="-", "-",
  IF(C$3=1, Дані!$D256,
    IF(C$3=2, Дані!$E256,
      IF(C$3=3, Дані!$F256,
        IF(C$3=4, Дані!$G256,
          IF(C$3=5, Дані!$H256,
            IF(C$3=6, Дані!$I256,
              IF(C$3=7, Дані!$J256,
                IF(C$3=8, Дані!$K256,
                  IF(C$3=9, Дані!$L256,
                    IF(C$3=10, Дані!$M256, "")
                  )
                )
              )
            )
          )
        )
      )
    )
  )
)</f>
        <v>-</v>
      </c>
      <c r="I10" s="42" t="str">
        <f>IFERROR(IF(OR(H10="-", H10=0), "-", IF(COUNTIF(H11:$H$31,"&gt;0")=0, K$3-SUMIF($I$2:I9,"&gt;0"), ROUND(K$3*H10, 2))), "-")</f>
        <v>-</v>
      </c>
      <c r="J10" s="161"/>
      <c r="K10" s="164"/>
    </row>
    <row r="11" spans="1:11" s="43" customFormat="1" ht="30" customHeight="1" x14ac:dyDescent="0.25">
      <c r="A11" s="13">
        <f>Дані!A191</f>
        <v>9</v>
      </c>
      <c r="B11" s="14" t="str">
        <f>Дані!B191</f>
        <v>Висівання у касети</v>
      </c>
      <c r="C11" s="158"/>
      <c r="D11" s="5" t="str">
        <f t="shared" si="0"/>
        <v>ні</v>
      </c>
      <c r="E11" s="38" t="str">
        <f>IF(C$3="-", "-",
  IF(C$3=1, Дані!$D191,
    IF(C$3=2, Дані!$E191,
      IF(C$3=3, Дані!$F191,
        IF(C$3=4, Дані!$G191,
          IF(C$3=5, Дані!$H191,
            IF(C$3=6, Дані!$I191,
              IF(C$3=7, Дані!$J191,
                IF(C$3=8, Дані!$K191,
                  IF(C$3=9, Дані!$L191,
                    IF(C$3=10, Дані!$M191, "")
                  )
                )
              )
            )
          )
        )
      )
    )
  )
)</f>
        <v>-</v>
      </c>
      <c r="F11" s="39" t="str">
        <f>Дані!C191</f>
        <v>касета</v>
      </c>
      <c r="G11" s="40" t="str">
        <f t="shared" si="1"/>
        <v>-</v>
      </c>
      <c r="H11" s="41" t="str">
        <f>IF(C$3="-", "-",
  IF(C$3=1, Дані!$D257,
    IF(C$3=2, Дані!$E257,
      IF(C$3=3, Дані!$F257,
        IF(C$3=4, Дані!$G257,
          IF(C$3=5, Дані!$H257,
            IF(C$3=6, Дані!$I257,
              IF(C$3=7, Дані!$J257,
                IF(C$3=8, Дані!$K257,
                  IF(C$3=9, Дані!$L257,
                    IF(C$3=10, Дані!$M257, "")
                  )
                )
              )
            )
          )
        )
      )
    )
  )
)</f>
        <v>-</v>
      </c>
      <c r="I11" s="42" t="str">
        <f>IFERROR(IF(OR(H11="-", H11=0), "-", IF(COUNTIF(H12:$H$31,"&gt;0")=0, K$3-SUMIF($I$2:I10,"&gt;0"), ROUND(K$3*H11, 2))), "-")</f>
        <v>-</v>
      </c>
      <c r="J11" s="161"/>
      <c r="K11" s="164"/>
    </row>
    <row r="12" spans="1:11" s="43" customFormat="1" ht="30" customHeight="1" x14ac:dyDescent="0.25">
      <c r="A12" s="13">
        <f>Дані!A192</f>
        <v>10</v>
      </c>
      <c r="B12" s="14" t="str">
        <f>Дані!B192</f>
        <v>Догляд за сіянцями та саджанцями</v>
      </c>
      <c r="C12" s="158"/>
      <c r="D12" s="5" t="str">
        <f t="shared" si="0"/>
        <v>ні</v>
      </c>
      <c r="E12" s="38" t="str">
        <f>IF(C$3="-", "-",
  IF(C$3=1, Дані!$D192,
    IF(C$3=2, Дані!$E192,
      IF(C$3=3, Дані!$F192,
        IF(C$3=4, Дані!$G192,
          IF(C$3=5, Дані!$H192,
            IF(C$3=6, Дані!$I192,
              IF(C$3=7, Дані!$J192,
                IF(C$3=8, Дані!$K192,
                  IF(C$3=9, Дані!$L192,
                    IF(C$3=10, Дані!$M192, "")
                  )
                )
              )
            )
          )
        )
      )
    )
  )
)</f>
        <v>-</v>
      </c>
      <c r="F12" s="39" t="str">
        <f>Дані!C192</f>
        <v>м2</v>
      </c>
      <c r="G12" s="40" t="str">
        <f t="shared" si="1"/>
        <v>-</v>
      </c>
      <c r="H12" s="41" t="str">
        <f>IF(C$3="-", "-",
  IF(C$3=1, Дані!$D258,
    IF(C$3=2, Дані!$E258,
      IF(C$3=3, Дані!$F258,
        IF(C$3=4, Дані!$G258,
          IF(C$3=5, Дані!$H258,
            IF(C$3=6, Дані!$I258,
              IF(C$3=7, Дані!$J258,
                IF(C$3=8, Дані!$K258,
                  IF(C$3=9, Дані!$L258,
                    IF(C$3=10, Дані!$M258, "")
                  )
                )
              )
            )
          )
        )
      )
    )
  )
)</f>
        <v>-</v>
      </c>
      <c r="I12" s="42" t="str">
        <f>IFERROR(IF(OR(H12="-", H12=0), "-", IF(COUNTIF(H13:$H$31,"&gt;0")=0, K$3-SUMIF($I$2:I11,"&gt;0"), ROUND(K$3*H12, 2))), "-")</f>
        <v>-</v>
      </c>
      <c r="J12" s="161"/>
      <c r="K12" s="164"/>
    </row>
    <row r="13" spans="1:11" s="43" customFormat="1" ht="30" customHeight="1" x14ac:dyDescent="0.25">
      <c r="A13" s="13">
        <f>Дані!A193</f>
        <v>11</v>
      </c>
      <c r="B13" s="14" t="str">
        <f>Дані!B193</f>
        <v>Покривання сіянців та саджанців затіняючою сіткою, плівкою, агроволокном</v>
      </c>
      <c r="C13" s="158"/>
      <c r="D13" s="5" t="str">
        <f t="shared" si="0"/>
        <v>ні</v>
      </c>
      <c r="E13" s="38" t="str">
        <f>IF(C$3="-", "-",
  IF(C$3=1, Дані!$D193,
    IF(C$3=2, Дані!$E193,
      IF(C$3=3, Дані!$F193,
        IF(C$3=4, Дані!$G193,
          IF(C$3=5, Дані!$H193,
            IF(C$3=6, Дані!$I193,
              IF(C$3=7, Дані!$J193,
                IF(C$3=8, Дані!$K193,
                  IF(C$3=9, Дані!$L193,
                    IF(C$3=10, Дані!$M193, "")
                  )
                )
              )
            )
          )
        )
      )
    )
  )
)</f>
        <v>-</v>
      </c>
      <c r="F13" s="39" t="str">
        <f>Дані!C193</f>
        <v>м2</v>
      </c>
      <c r="G13" s="40" t="str">
        <f t="shared" si="1"/>
        <v>-</v>
      </c>
      <c r="H13" s="41" t="str">
        <f>IF(C$3="-", "-",
  IF(C$3=1, Дані!$D259,
    IF(C$3=2, Дані!$E259,
      IF(C$3=3, Дані!$F259,
        IF(C$3=4, Дані!$G259,
          IF(C$3=5, Дані!$H259,
            IF(C$3=6, Дані!$I259,
              IF(C$3=7, Дані!$J259,
                IF(C$3=8, Дані!$K259,
                  IF(C$3=9, Дані!$L259,
                    IF(C$3=10, Дані!$M259, "")
                  )
                )
              )
            )
          )
        )
      )
    )
  )
)</f>
        <v>-</v>
      </c>
      <c r="I13" s="42" t="str">
        <f>IFERROR(IF(OR(H13="-", H13=0), "-", IF(COUNTIF(H14:$H$31,"&gt;0")=0, K$3-SUMIF($I$2:I12,"&gt;0"), ROUND(K$3*H13, 2))), "-")</f>
        <v>-</v>
      </c>
      <c r="J13" s="161"/>
      <c r="K13" s="164"/>
    </row>
    <row r="14" spans="1:11" s="43" customFormat="1" ht="30" customHeight="1" x14ac:dyDescent="0.25">
      <c r="A14" s="13">
        <f>Дані!A194</f>
        <v>12</v>
      </c>
      <c r="B14" s="14" t="str">
        <f>Дані!B194</f>
        <v>Обприскування та підживлення рослин</v>
      </c>
      <c r="C14" s="158"/>
      <c r="D14" s="5" t="str">
        <f t="shared" si="0"/>
        <v>ні</v>
      </c>
      <c r="E14" s="38" t="str">
        <f>IF(C$3="-", "-",
  IF(C$3=1, Дані!$D194,
    IF(C$3=2, Дані!$E194,
      IF(C$3=3, Дані!$F194,
        IF(C$3=4, Дані!$G194,
          IF(C$3=5, Дані!$H194,
            IF(C$3=6, Дані!$I194,
              IF(C$3=7, Дані!$J194,
                IF(C$3=8, Дані!$K194,
                  IF(C$3=9, Дані!$L194,
                    IF(C$3=10, Дані!$M194, "")
                  )
                )
              )
            )
          )
        )
      )
    )
  )
)</f>
        <v>-</v>
      </c>
      <c r="F14" s="39" t="str">
        <f>Дані!C194</f>
        <v>м2</v>
      </c>
      <c r="G14" s="40" t="str">
        <f t="shared" si="1"/>
        <v>-</v>
      </c>
      <c r="H14" s="41" t="str">
        <f>IF(C$3="-", "-",
  IF(C$3=1, Дані!$D260,
    IF(C$3=2, Дані!$E260,
      IF(C$3=3, Дані!$F260,
        IF(C$3=4, Дані!$G260,
          IF(C$3=5, Дані!$H260,
            IF(C$3=6, Дані!$I260,
              IF(C$3=7, Дані!$J260,
                IF(C$3=8, Дані!$K260,
                  IF(C$3=9, Дані!$L260,
                    IF(C$3=10, Дані!$M260, "")
                  )
                )
              )
            )
          )
        )
      )
    )
  )
)</f>
        <v>-</v>
      </c>
      <c r="I14" s="42" t="str">
        <f>IFERROR(IF(OR(H14="-", H14=0), "-", IF(COUNTIF(H15:$H$31,"&gt;0")=0, K$3-SUMIF($I$2:I13,"&gt;0"), ROUND(K$3*H14, 2))), "-")</f>
        <v>-</v>
      </c>
      <c r="J14" s="161"/>
      <c r="K14" s="164"/>
    </row>
    <row r="15" spans="1:11" s="43" customFormat="1" ht="30" customHeight="1" x14ac:dyDescent="0.25">
      <c r="A15" s="13">
        <f>Дані!A195</f>
        <v>13</v>
      </c>
      <c r="B15" s="14" t="str">
        <f>Дані!B195</f>
        <v>Прополювання посівів у теплицях або коробах</v>
      </c>
      <c r="C15" s="158"/>
      <c r="D15" s="5" t="str">
        <f t="shared" si="0"/>
        <v>ні</v>
      </c>
      <c r="E15" s="38" t="str">
        <f>IF(C$3="-", "-",
  IF(C$3=1, Дані!$D195,
    IF(C$3=2, Дані!$E195,
      IF(C$3=3, Дані!$F195,
        IF(C$3=4, Дані!$G195,
          IF(C$3=5, Дані!$H195,
            IF(C$3=6, Дані!$I195,
              IF(C$3=7, Дані!$J195,
                IF(C$3=8, Дані!$K195,
                  IF(C$3=9, Дані!$L195,
                    IF(C$3=10, Дані!$M195, "")
                  )
                )
              )
            )
          )
        )
      )
    )
  )
)</f>
        <v>-</v>
      </c>
      <c r="F15" s="39" t="str">
        <f>Дані!C195</f>
        <v>м2</v>
      </c>
      <c r="G15" s="40" t="str">
        <f t="shared" si="1"/>
        <v>-</v>
      </c>
      <c r="H15" s="41" t="str">
        <f>IF(C$3="-", "-",
  IF(C$3=1, Дані!$D261,
    IF(C$3=2, Дані!$E261,
      IF(C$3=3, Дані!$F261,
        IF(C$3=4, Дані!$G261,
          IF(C$3=5, Дані!$H261,
            IF(C$3=6, Дані!$I261,
              IF(C$3=7, Дані!$J261,
                IF(C$3=8, Дані!$K261,
                  IF(C$3=9, Дані!$L261,
                    IF(C$3=10, Дані!$M261, "")
                  )
                )
              )
            )
          )
        )
      )
    )
  )
)</f>
        <v>-</v>
      </c>
      <c r="I15" s="42" t="str">
        <f>IFERROR(IF(OR(H15="-", H15=0), "-", IF(COUNTIF(H16:$H$31,"&gt;0")=0, K$3-SUMIF($I$2:I14,"&gt;0"), ROUND(K$3*H15, 2))), "-")</f>
        <v>-</v>
      </c>
      <c r="J15" s="161"/>
      <c r="K15" s="164"/>
    </row>
    <row r="16" spans="1:11" s="43" customFormat="1" ht="30" customHeight="1" x14ac:dyDescent="0.25">
      <c r="A16" s="13">
        <f>Дані!A196</f>
        <v>14</v>
      </c>
      <c r="B16" s="14" t="str">
        <f>Дані!B196</f>
        <v>Розпушування грунту та прополювання посівів</v>
      </c>
      <c r="C16" s="158"/>
      <c r="D16" s="5" t="str">
        <f t="shared" si="0"/>
        <v>ні</v>
      </c>
      <c r="E16" s="38" t="str">
        <f>IF(C$3="-", "-",
  IF(C$3=1, Дані!$D196,
    IF(C$3=2, Дані!$E196,
      IF(C$3=3, Дані!$F196,
        IF(C$3=4, Дані!$G196,
          IF(C$3=5, Дані!$H196,
            IF(C$3=6, Дані!$I196,
              IF(C$3=7, Дані!$J196,
                IF(C$3=8, Дані!$K196,
                  IF(C$3=9, Дані!$L196,
                    IF(C$3=10, Дані!$M196, "")
                  )
                )
              )
            )
          )
        )
      )
    )
  )
)</f>
        <v>-</v>
      </c>
      <c r="F16" s="39" t="str">
        <f>Дані!C196</f>
        <v>м2</v>
      </c>
      <c r="G16" s="40" t="str">
        <f t="shared" si="1"/>
        <v>-</v>
      </c>
      <c r="H16" s="41" t="str">
        <f>IF(C$3="-", "-",
  IF(C$3=1, Дані!$D262,
    IF(C$3=2, Дані!$E262,
      IF(C$3=3, Дані!$F262,
        IF(C$3=4, Дані!$G262,
          IF(C$3=5, Дані!$H262,
            IF(C$3=6, Дані!$I262,
              IF(C$3=7, Дані!$J262,
                IF(C$3=8, Дані!$K262,
                  IF(C$3=9, Дані!$L262,
                    IF(C$3=10, Дані!$M262, "")
                  )
                )
              )
            )
          )
        )
      )
    )
  )
)</f>
        <v>-</v>
      </c>
      <c r="I16" s="42" t="str">
        <f>IFERROR(IF(OR(H16="-", H16=0), "-", IF(COUNTIF(H17:$H$31,"&gt;0")=0, K$3-SUMIF($I$2:I15,"&gt;0"), ROUND(K$3*H16, 2))), "-")</f>
        <v>-</v>
      </c>
      <c r="J16" s="161"/>
      <c r="K16" s="164"/>
    </row>
    <row r="17" spans="1:11" s="43" customFormat="1" ht="30" customHeight="1" x14ac:dyDescent="0.25">
      <c r="A17" s="13">
        <f>Дані!A197</f>
        <v>15</v>
      </c>
      <c r="B17" s="14" t="str">
        <f>Дані!B197</f>
        <v>Затінення посівів щитами</v>
      </c>
      <c r="C17" s="158"/>
      <c r="D17" s="5" t="str">
        <f t="shared" si="0"/>
        <v>ні</v>
      </c>
      <c r="E17" s="38" t="str">
        <f>IF(C$3="-", "-",
  IF(C$3=1, Дані!$D197,
    IF(C$3=2, Дані!$E197,
      IF(C$3=3, Дані!$F197,
        IF(C$3=4, Дані!$G197,
          IF(C$3=5, Дані!$H197,
            IF(C$3=6, Дані!$I197,
              IF(C$3=7, Дані!$J197,
                IF(C$3=8, Дані!$K197,
                  IF(C$3=9, Дані!$L197,
                    IF(C$3=10, Дані!$M197, "")
                  )
                )
              )
            )
          )
        )
      )
    )
  )
)</f>
        <v>-</v>
      </c>
      <c r="F17" s="39" t="str">
        <f>Дані!C197</f>
        <v>щит</v>
      </c>
      <c r="G17" s="40" t="str">
        <f t="shared" si="1"/>
        <v>-</v>
      </c>
      <c r="H17" s="41" t="str">
        <f>IF(C$3="-", "-",
  IF(C$3=1, Дані!$D263,
    IF(C$3=2, Дані!$E263,
      IF(C$3=3, Дані!$F263,
        IF(C$3=4, Дані!$G263,
          IF(C$3=5, Дані!$H263,
            IF(C$3=6, Дані!$I263,
              IF(C$3=7, Дані!$J263,
                IF(C$3=8, Дані!$K263,
                  IF(C$3=9, Дані!$L263,
                    IF(C$3=10, Дані!$M263, "")
                  )
                )
              )
            )
          )
        )
      )
    )
  )
)</f>
        <v>-</v>
      </c>
      <c r="I17" s="42" t="str">
        <f>IFERROR(IF(OR(H17="-", H17=0), "-", IF(COUNTIF(H18:$H$31,"&gt;0")=0, K$3-SUMIF($I$2:I16,"&gt;0"), ROUND(K$3*H17, 2))), "-")</f>
        <v>-</v>
      </c>
      <c r="J17" s="161"/>
      <c r="K17" s="164"/>
    </row>
    <row r="18" spans="1:11" s="43" customFormat="1" ht="30" customHeight="1" x14ac:dyDescent="0.25">
      <c r="A18" s="13">
        <f>Дані!A198</f>
        <v>16</v>
      </c>
      <c r="B18" s="14" t="str">
        <f>Дані!B198</f>
        <v>Послуги в теплицях та шкільних відділеннях лісових розсадників (низької вартості)</v>
      </c>
      <c r="C18" s="158"/>
      <c r="D18" s="5" t="str">
        <f t="shared" si="0"/>
        <v>ні</v>
      </c>
      <c r="E18" s="38" t="str">
        <f>IF(C$3="-", "-",
  IF(C$3=1, Дані!$D198,
    IF(C$3=2, Дані!$E198,
      IF(C$3=3, Дані!$F198,
        IF(C$3=4, Дані!$G198,
          IF(C$3=5, Дані!$H198,
            IF(C$3=6, Дані!$I198,
              IF(C$3=7, Дані!$J198,
                IF(C$3=8, Дані!$K198,
                  IF(C$3=9, Дані!$L198,
                    IF(C$3=10, Дані!$M198, "")
                  )
                )
              )
            )
          )
        )
      )
    )
  )
)</f>
        <v>-</v>
      </c>
      <c r="F18" s="39" t="str">
        <f>Дані!C198</f>
        <v>тис. шт.</v>
      </c>
      <c r="G18" s="40" t="str">
        <f t="shared" si="1"/>
        <v>-</v>
      </c>
      <c r="H18" s="41" t="str">
        <f>IF(C$3="-", "-",
  IF(C$3=1, Дані!$D264,
    IF(C$3=2, Дані!$E264,
      IF(C$3=3, Дані!$F264,
        IF(C$3=4, Дані!$G264,
          IF(C$3=5, Дані!$H264,
            IF(C$3=6, Дані!$I264,
              IF(C$3=7, Дані!$J264,
                IF(C$3=8, Дані!$K264,
                  IF(C$3=9, Дані!$L264,
                    IF(C$3=10, Дані!$M264, "")
                  )
                )
              )
            )
          )
        )
      )
    )
  )
)</f>
        <v>-</v>
      </c>
      <c r="I18" s="42" t="str">
        <f>IFERROR(IF(OR(H18="-", H18=0), "-", IF(COUNTIF(H19:$H$31,"&gt;0")=0, K$3-SUMIF($I$2:I17,"&gt;0"), ROUND(K$3*H18, 2))), "-")</f>
        <v>-</v>
      </c>
      <c r="J18" s="161"/>
      <c r="K18" s="164"/>
    </row>
    <row r="19" spans="1:11" s="43" customFormat="1" ht="30" customHeight="1" x14ac:dyDescent="0.25">
      <c r="A19" s="13">
        <f>Дані!A199</f>
        <v>17</v>
      </c>
      <c r="B19" s="37" t="str">
        <f>Дані!B199</f>
        <v>Послуги в теплицях та шкільних відділеннях лісових розсадників (середньої вартості)</v>
      </c>
      <c r="C19" s="158"/>
      <c r="D19" s="5" t="str">
        <f t="shared" si="0"/>
        <v>ні</v>
      </c>
      <c r="E19" s="38" t="str">
        <f>IF(C$3="-", "-",
  IF(C$3=1, Дані!$D199,
    IF(C$3=2, Дані!$E199,
      IF(C$3=3, Дані!$F199,
        IF(C$3=4, Дані!$G199,
          IF(C$3=5, Дані!$H199,
            IF(C$3=6, Дані!$I199,
              IF(C$3=7, Дані!$J199,
                IF(C$3=8, Дані!$K199,
                  IF(C$3=9, Дані!$L199,
                    IF(C$3=10, Дані!$M199, "")
                  )
                )
              )
            )
          )
        )
      )
    )
  )
)</f>
        <v>-</v>
      </c>
      <c r="F19" s="39" t="str">
        <f>Дані!C199</f>
        <v>тис. шт.</v>
      </c>
      <c r="G19" s="40" t="str">
        <f t="shared" si="1"/>
        <v>-</v>
      </c>
      <c r="H19" s="41" t="str">
        <f>IF(C$3="-", "-",
  IF(C$3=1, Дані!$D265,
    IF(C$3=2, Дані!$E265,
      IF(C$3=3, Дані!$F265,
        IF(C$3=4, Дані!$G265,
          IF(C$3=5, Дані!$H265,
            IF(C$3=6, Дані!$I265,
              IF(C$3=7, Дані!$J265,
                IF(C$3=8, Дані!$K265,
                  IF(C$3=9, Дані!$L265,
                    IF(C$3=10, Дані!$M265, "")
                  )
                )
              )
            )
          )
        )
      )
    )
  )
)</f>
        <v>-</v>
      </c>
      <c r="I19" s="42" t="str">
        <f>IFERROR(IF(OR(H19="-", H19=0), "-", IF(COUNTIF(H20:$H$31,"&gt;0")=0, K$3-SUMIF($I$2:I18,"&gt;0"), ROUND(K$3*H19, 2))), "-")</f>
        <v>-</v>
      </c>
      <c r="J19" s="161"/>
      <c r="K19" s="164"/>
    </row>
    <row r="20" spans="1:11" s="43" customFormat="1" ht="30" customHeight="1" x14ac:dyDescent="0.25">
      <c r="A20" s="13">
        <f>Дані!A200</f>
        <v>18</v>
      </c>
      <c r="B20" s="14" t="str">
        <f>Дані!B200</f>
        <v>Послуги в теплицях та шкільних відділеннях лісових розсадників (високої вартості)</v>
      </c>
      <c r="C20" s="158"/>
      <c r="D20" s="5" t="str">
        <f t="shared" si="0"/>
        <v>ні</v>
      </c>
      <c r="E20" s="38" t="str">
        <f>IF(C$3="-", "-",
  IF(C$3=1, Дані!$D200,
    IF(C$3=2, Дані!$E200,
      IF(C$3=3, Дані!$F200,
        IF(C$3=4, Дані!$G200,
          IF(C$3=5, Дані!$H200,
            IF(C$3=6, Дані!$I200,
              IF(C$3=7, Дані!$J200,
                IF(C$3=8, Дані!$K200,
                  IF(C$3=9, Дані!$L200,
                    IF(C$3=10, Дані!$M200, "")
                  )
                )
              )
            )
          )
        )
      )
    )
  )
)</f>
        <v>-</v>
      </c>
      <c r="F20" s="39" t="str">
        <f>Дані!C200</f>
        <v>тис. шт.</v>
      </c>
      <c r="G20" s="40" t="str">
        <f t="shared" si="1"/>
        <v>-</v>
      </c>
      <c r="H20" s="41" t="str">
        <f>IF(C$3="-", "-",
  IF(C$3=1, Дані!$D266,
    IF(C$3=2, Дані!$E266,
      IF(C$3=3, Дані!$F266,
        IF(C$3=4, Дані!$G266,
          IF(C$3=5, Дані!$H266,
            IF(C$3=6, Дані!$I266,
              IF(C$3=7, Дані!$J266,
                IF(C$3=8, Дані!$K266,
                  IF(C$3=9, Дані!$L266,
                    IF(C$3=10, Дані!$M266, "")
                  )
                )
              )
            )
          )
        )
      )
    )
  )
)</f>
        <v>-</v>
      </c>
      <c r="I20" s="42" t="str">
        <f>IFERROR(IF(OR(H20="-", H20=0), "-", IF(COUNTIF(H21:$H$31,"&gt;0")=0, K$3-SUMIF($I$2:I19,"&gt;0"), ROUND(K$3*H20, 2))), "-")</f>
        <v>-</v>
      </c>
      <c r="J20" s="161"/>
      <c r="K20" s="164"/>
    </row>
    <row r="21" spans="1:11" s="43" customFormat="1" ht="30" customHeight="1" x14ac:dyDescent="0.25">
      <c r="A21" s="85">
        <f>Дані!A201</f>
        <v>19</v>
      </c>
      <c r="B21" s="86" t="str">
        <f>Дані!B201</f>
        <v>Викопування декоративних саджанців без грудки землі</v>
      </c>
      <c r="C21" s="158"/>
      <c r="D21" s="87" t="str">
        <f t="shared" si="0"/>
        <v>ні</v>
      </c>
      <c r="E21" s="88" t="str">
        <f>IF(C$3="-", "-",
  IF(C$3=1, Дані!$D201,
    IF(C$3=2, Дані!$E201,
      IF(C$3=3, Дані!$F201,
        IF(C$3=4, Дані!$G201,
          IF(C$3=5, Дані!$H201,
            IF(C$3=6, Дані!$I201,
              IF(C$3=7, Дані!$J201,
                IF(C$3=8, Дані!$K201,
                  IF(C$3=9, Дані!$L201,
                    IF(C$3=10, Дані!$M201, "")
                  )
                )
              )
            )
          )
        )
      )
    )
  )
)</f>
        <v>-</v>
      </c>
      <c r="F21" s="89" t="str">
        <f>Дані!C201</f>
        <v>тис. шт.</v>
      </c>
      <c r="G21" s="90" t="str">
        <f t="shared" si="1"/>
        <v>-</v>
      </c>
      <c r="H21" s="91" t="str">
        <f>IF(C$3="-", "-",
  IF(C$3=1, Дані!$D267,
    IF(C$3=2, Дані!$E267,
      IF(C$3=3, Дані!$F267,
        IF(C$3=4, Дані!$G267,
          IF(C$3=5, Дані!$H267,
            IF(C$3=6, Дані!$I267,
              IF(C$3=7, Дані!$J267,
                IF(C$3=8, Дані!$K267,
                  IF(C$3=9, Дані!$L267,
                    IF(C$3=10, Дані!$M267, "")
                  )
                )
              )
            )
          )
        )
      )
    )
  )
)</f>
        <v>-</v>
      </c>
      <c r="I21" s="92" t="str">
        <f>IFERROR(IF(OR(H21="-", H21=0), "-", IF(COUNTIF(H22:$H$31,"&gt;0")=0, K$3-SUMIF($I$2:I20,"&gt;0"), ROUND(K$3*H21, 2))), "-")</f>
        <v>-</v>
      </c>
      <c r="J21" s="161"/>
      <c r="K21" s="164"/>
    </row>
    <row r="22" spans="1:11" s="43" customFormat="1" ht="30" customHeight="1" x14ac:dyDescent="0.25">
      <c r="A22" s="13">
        <f>Дані!A202</f>
        <v>20</v>
      </c>
      <c r="B22" s="86" t="str">
        <f>Дані!B202</f>
        <v>Викопування декоративних саджанців з грудою землі</v>
      </c>
      <c r="C22" s="158"/>
      <c r="D22" s="87" t="str">
        <f t="shared" si="0"/>
        <v>ні</v>
      </c>
      <c r="E22" s="88" t="str">
        <f>IF(C$3="-", "-",
  IF(C$3=1, Дані!$D202,
    IF(C$3=2, Дані!$E202,
      IF(C$3=3, Дані!$F202,
        IF(C$3=4, Дані!$G202,
          IF(C$3=5, Дані!$H202,
            IF(C$3=6, Дані!$I202,
              IF(C$3=7, Дані!$J202,
                IF(C$3=8, Дані!$K202,
                  IF(C$3=9, Дані!$L202,
                    IF(C$3=10, Дані!$M202, "")
                  )
                )
              )
            )
          )
        )
      )
    )
  )
)</f>
        <v>-</v>
      </c>
      <c r="F22" s="89" t="str">
        <f>Дані!C202</f>
        <v>тис. шт.</v>
      </c>
      <c r="G22" s="90" t="str">
        <f t="shared" si="1"/>
        <v>-</v>
      </c>
      <c r="H22" s="91" t="str">
        <f>IF(C$3="-", "-",
  IF(C$3=1, Дані!$D268,
    IF(C$3=2, Дані!$E268,
      IF(C$3=3, Дані!$F268,
        IF(C$3=4, Дані!$G268,
          IF(C$3=5, Дані!$H268,
            IF(C$3=6, Дані!$I268,
              IF(C$3=7, Дані!$J268,
                IF(C$3=8, Дані!$K268,
                  IF(C$3=9, Дані!$L268,
                    IF(C$3=10, Дані!$M268, "")
                  )
                )
              )
            )
          )
        )
      )
    )
  )
)</f>
        <v>-</v>
      </c>
      <c r="I22" s="92" t="str">
        <f>IFERROR(IF(OR(H22="-", H22=0), "-", IF(COUNTIF(H23:$H$31,"&gt;0")=0, K$3-SUMIF($I$2:I21,"&gt;0"), ROUND(K$3*H22, 2))), "-")</f>
        <v>-</v>
      </c>
      <c r="J22" s="161"/>
      <c r="K22" s="164"/>
    </row>
    <row r="23" spans="1:11" s="43" customFormat="1" ht="30" customHeight="1" x14ac:dyDescent="0.25">
      <c r="A23" s="13">
        <f>Дані!A203</f>
        <v>21</v>
      </c>
      <c r="B23" s="86" t="str">
        <f>Дані!B203</f>
        <v>Топіарна стрижка</v>
      </c>
      <c r="C23" s="158"/>
      <c r="D23" s="87" t="str">
        <f t="shared" si="0"/>
        <v>ні</v>
      </c>
      <c r="E23" s="88" t="str">
        <f>IF(C$3="-", "-",
  IF(C$3=1, Дані!$D203,
    IF(C$3=2, Дані!$E203,
      IF(C$3=3, Дані!$F203,
        IF(C$3=4, Дані!$G203,
          IF(C$3=5, Дані!$H203,
            IF(C$3=6, Дані!$I203,
              IF(C$3=7, Дані!$J203,
                IF(C$3=8, Дані!$K203,
                  IF(C$3=9, Дані!$L203,
                    IF(C$3=10, Дані!$M203, "")
                  )
                )
              )
            )
          )
        )
      )
    )
  )
)</f>
        <v>-</v>
      </c>
      <c r="F23" s="89" t="str">
        <f>Дані!C203</f>
        <v>шт.</v>
      </c>
      <c r="G23" s="90" t="str">
        <f t="shared" si="1"/>
        <v>-</v>
      </c>
      <c r="H23" s="91" t="str">
        <f>IF(C$3="-", "-",
  IF(C$3=1, Дані!$D269,
    IF(C$3=2, Дані!$E269,
      IF(C$3=3, Дані!$F269,
        IF(C$3=4, Дані!$G269,
          IF(C$3=5, Дані!$H269,
            IF(C$3=6, Дані!$I269,
              IF(C$3=7, Дані!$J269,
                IF(C$3=8, Дані!$K269,
                  IF(C$3=9, Дані!$L269,
                    IF(C$3=10, Дані!$M269, "")
                  )
                )
              )
            )
          )
        )
      )
    )
  )
)</f>
        <v>-</v>
      </c>
      <c r="I23" s="92" t="str">
        <f>IFERROR(IF(OR(H23="-", H23=0), "-", IF(COUNTIF(H24:$H$31,"&gt;0")=0, K$3-SUMIF($I$2:I22,"&gt;0"), ROUND(K$3*H23, 2))), "-")</f>
        <v>-</v>
      </c>
      <c r="J23" s="161"/>
      <c r="K23" s="164"/>
    </row>
    <row r="24" spans="1:11" s="43" customFormat="1" ht="30" customHeight="1" x14ac:dyDescent="0.25">
      <c r="A24" s="13">
        <f>Дані!A204</f>
        <v>22</v>
      </c>
      <c r="B24" s="86" t="str">
        <f>Дані!B204</f>
        <v>Приготування земляної (торфяної) суміші для коробів та теплиць</v>
      </c>
      <c r="C24" s="158"/>
      <c r="D24" s="87" t="str">
        <f t="shared" si="0"/>
        <v>ні</v>
      </c>
      <c r="E24" s="88" t="str">
        <f>IF(C$3="-", "-",
  IF(C$3=1, Дані!$D204,
    IF(C$3=2, Дані!$E204,
      IF(C$3=3, Дані!$F204,
        IF(C$3=4, Дані!$G204,
          IF(C$3=5, Дані!$H204,
            IF(C$3=6, Дані!$I204,
              IF(C$3=7, Дані!$J204,
                IF(C$3=8, Дані!$K204,
                  IF(C$3=9, Дані!$L204,
                    IF(C$3=10, Дані!$M204, "")
                  )
                )
              )
            )
          )
        )
      )
    )
  )
)</f>
        <v>-</v>
      </c>
      <c r="F24" s="89" t="str">
        <f>Дані!C204</f>
        <v>м3</v>
      </c>
      <c r="G24" s="90" t="str">
        <f t="shared" si="1"/>
        <v>-</v>
      </c>
      <c r="H24" s="91" t="str">
        <f>IF(C$3="-", "-",
  IF(C$3=1, Дані!$D270,
    IF(C$3=2, Дані!$E270,
      IF(C$3=3, Дані!$F270,
        IF(C$3=4, Дані!$G270,
          IF(C$3=5, Дані!$H270,
            IF(C$3=6, Дані!$I270,
              IF(C$3=7, Дані!$J270,
                IF(C$3=8, Дані!$K270,
                  IF(C$3=9, Дані!$L270,
                    IF(C$3=10, Дані!$M270, "")
                  )
                )
              )
            )
          )
        )
      )
    )
  )
)</f>
        <v>-</v>
      </c>
      <c r="I24" s="92" t="str">
        <f>IFERROR(IF(OR(H24="-", H24=0), "-", IF(COUNTIF(H25:$H$31,"&gt;0")=0, K$3-SUMIF($I$2:I23,"&gt;0"), ROUND(K$3*H24, 2))), "-")</f>
        <v>-</v>
      </c>
      <c r="J24" s="161"/>
      <c r="K24" s="164"/>
    </row>
    <row r="25" spans="1:11" s="43" customFormat="1" ht="30" customHeight="1" x14ac:dyDescent="0.25">
      <c r="A25" s="13">
        <f>Дані!A205</f>
        <v>23</v>
      </c>
      <c r="B25" s="86" t="str">
        <f>Дані!B205</f>
        <v>Послуги, пов`язані із вирощуванням саджанців із закритою кореневою системою (ЗКС)</v>
      </c>
      <c r="C25" s="158"/>
      <c r="D25" s="87" t="str">
        <f t="shared" si="0"/>
        <v>ні</v>
      </c>
      <c r="E25" s="88" t="str">
        <f>IF(C$3="-", "-",
  IF(C$3=1, Дані!$D205,
    IF(C$3=2, Дані!$E205,
      IF(C$3=3, Дані!$F205,
        IF(C$3=4, Дані!$G205,
          IF(C$3=5, Дані!$H205,
            IF(C$3=6, Дані!$I205,
              IF(C$3=7, Дані!$J205,
                IF(C$3=8, Дані!$K205,
                  IF(C$3=9, Дані!$L205,
                    IF(C$3=10, Дані!$M205, "")
                  )
                )
              )
            )
          )
        )
      )
    )
  )
)</f>
        <v>-</v>
      </c>
      <c r="F25" s="89" t="str">
        <f>Дані!C205</f>
        <v>шт.</v>
      </c>
      <c r="G25" s="90" t="str">
        <f t="shared" si="1"/>
        <v>-</v>
      </c>
      <c r="H25" s="91" t="str">
        <f>IF(C$3="-", "-",
  IF(C$3=1, Дані!$D271,
    IF(C$3=2, Дані!$E271,
      IF(C$3=3, Дані!$F271,
        IF(C$3=4, Дані!$G271,
          IF(C$3=5, Дані!$H271,
            IF(C$3=6, Дані!$I271,
              IF(C$3=7, Дані!$J271,
                IF(C$3=8, Дані!$K271,
                  IF(C$3=9, Дані!$L271,
                    IF(C$3=10, Дані!$M271, "")
                  )
                )
              )
            )
          )
        )
      )
    )
  )
)</f>
        <v>-</v>
      </c>
      <c r="I25" s="92" t="str">
        <f>IFERROR(IF(OR(H25="-", H25=0), "-", IF(COUNTIF(H26:$H$31,"&gt;0")=0, K$3-SUMIF($I$2:I24,"&gt;0"), ROUND(K$3*H25, 2))), "-")</f>
        <v>-</v>
      </c>
      <c r="J25" s="161"/>
      <c r="K25" s="164"/>
    </row>
    <row r="26" spans="1:11" s="43" customFormat="1" ht="30" customHeight="1" x14ac:dyDescent="0.25">
      <c r="A26" s="13">
        <f>Дані!A206</f>
        <v>24</v>
      </c>
      <c r="B26" s="86" t="str">
        <f>Дані!B206</f>
        <v>Садіння рослин у горщики</v>
      </c>
      <c r="C26" s="158"/>
      <c r="D26" s="87" t="str">
        <f t="shared" si="0"/>
        <v>ні</v>
      </c>
      <c r="E26" s="88" t="str">
        <f>IF(C$3="-", "-",
  IF(C$3=1, Дані!$D206,
    IF(C$3=2, Дані!$E206,
      IF(C$3=3, Дані!$F206,
        IF(C$3=4, Дані!$G206,
          IF(C$3=5, Дані!$H206,
            IF(C$3=6, Дані!$I206,
              IF(C$3=7, Дані!$J206,
                IF(C$3=8, Дані!$K206,
                  IF(C$3=9, Дані!$L206,
                    IF(C$3=10, Дані!$M206, "")
                  )
                )
              )
            )
          )
        )
      )
    )
  )
)</f>
        <v>-</v>
      </c>
      <c r="F26" s="89" t="str">
        <f>Дані!C206</f>
        <v>шт.</v>
      </c>
      <c r="G26" s="90" t="str">
        <f t="shared" si="1"/>
        <v>-</v>
      </c>
      <c r="H26" s="91" t="str">
        <f>IF(C$3="-", "-",
  IF(C$3=1, Дані!$D272,
    IF(C$3=2, Дані!$E272,
      IF(C$3=3, Дані!$F272,
        IF(C$3=4, Дані!$G272,
          IF(C$3=5, Дані!$H272,
            IF(C$3=6, Дані!$I272,
              IF(C$3=7, Дані!$J272,
                IF(C$3=8, Дані!$K272,
                  IF(C$3=9, Дані!$L272,
                    IF(C$3=10, Дані!$M272, "")
                  )
                )
              )
            )
          )
        )
      )
    )
  )
)</f>
        <v>-</v>
      </c>
      <c r="I26" s="92" t="str">
        <f>IFERROR(IF(OR(H26="-", H26=0), "-", IF(COUNTIF(H27:$H$31,"&gt;0")=0, K$3-SUMIF($I$2:I25,"&gt;0"), ROUND(K$3*H26, 2))), "-")</f>
        <v>-</v>
      </c>
      <c r="J26" s="161"/>
      <c r="K26" s="164"/>
    </row>
    <row r="27" spans="1:11" s="43" customFormat="1" ht="30" customHeight="1" x14ac:dyDescent="0.25">
      <c r="A27" s="13">
        <f>Дані!A207</f>
        <v>25</v>
      </c>
      <c r="B27" s="86" t="str">
        <f>Дані!B207</f>
        <v>Сівба насіння квіткових культур в ящики</v>
      </c>
      <c r="C27" s="158"/>
      <c r="D27" s="87" t="str">
        <f t="shared" si="0"/>
        <v>ні</v>
      </c>
      <c r="E27" s="88" t="str">
        <f>IF(C$3="-", "-",
  IF(C$3=1, Дані!$D207,
    IF(C$3=2, Дані!$E207,
      IF(C$3=3, Дані!$F207,
        IF(C$3=4, Дані!$G207,
          IF(C$3=5, Дані!$H207,
            IF(C$3=6, Дані!$I207,
              IF(C$3=7, Дані!$J207,
                IF(C$3=8, Дані!$K207,
                  IF(C$3=9, Дані!$L207,
                    IF(C$3=10, Дані!$M207, "")
                  )
                )
              )
            )
          )
        )
      )
    )
  )
)</f>
        <v>-</v>
      </c>
      <c r="F27" s="89" t="str">
        <f>Дані!C207</f>
        <v>шт.</v>
      </c>
      <c r="G27" s="90" t="str">
        <f t="shared" si="1"/>
        <v>-</v>
      </c>
      <c r="H27" s="91" t="str">
        <f>IF(C$3="-", "-",
  IF(C$3=1, Дані!$D273,
    IF(C$3=2, Дані!$E273,
      IF(C$3=3, Дані!$F273,
        IF(C$3=4, Дані!$G273,
          IF(C$3=5, Дані!$H273,
            IF(C$3=6, Дані!$I273,
              IF(C$3=7, Дані!$J273,
                IF(C$3=8, Дані!$K273,
                  IF(C$3=9, Дані!$L273,
                    IF(C$3=10, Дані!$M273, "")
                  )
                )
              )
            )
          )
        )
      )
    )
  )
)</f>
        <v>-</v>
      </c>
      <c r="I27" s="92" t="str">
        <f>IFERROR(IF(OR(H27="-", H27=0), "-", IF(COUNTIF(H28:$H$31,"&gt;0")=0, K$3-SUMIF($I$2:I26,"&gt;0"), ROUND(K$3*H27, 2))), "-")</f>
        <v>-</v>
      </c>
      <c r="J27" s="161"/>
      <c r="K27" s="164"/>
    </row>
    <row r="28" spans="1:11" s="43" customFormat="1" ht="30" customHeight="1" x14ac:dyDescent="0.25">
      <c r="A28" s="13">
        <f>Дані!A208</f>
        <v>26</v>
      </c>
      <c r="B28" s="86" t="str">
        <f>Дані!B208</f>
        <v>Господарські послуги</v>
      </c>
      <c r="C28" s="158"/>
      <c r="D28" s="87" t="str">
        <f t="shared" si="0"/>
        <v>ні</v>
      </c>
      <c r="E28" s="88" t="str">
        <f>IF(C$3="-", "-",
  IF(C$3=1, Дані!$D208,
    IF(C$3=2, Дані!$E208,
      IF(C$3=3, Дані!$F208,
        IF(C$3=4, Дані!$G208,
          IF(C$3=5, Дані!$H208,
            IF(C$3=6, Дані!$I208,
              IF(C$3=7, Дані!$J208,
                IF(C$3=8, Дані!$K208,
                  IF(C$3=9, Дані!$L208,
                    IF(C$3=10, Дані!$M208, "")
                  )
                )
              )
            )
          )
        )
      )
    )
  )
)</f>
        <v>-</v>
      </c>
      <c r="F28" s="89" t="str">
        <f>Дані!C208</f>
        <v>год</v>
      </c>
      <c r="G28" s="90" t="str">
        <f t="shared" si="1"/>
        <v>-</v>
      </c>
      <c r="H28" s="91" t="str">
        <f>IF(C$3="-", "-",
  IF(C$3=1, Дані!$D274,
    IF(C$3=2, Дані!$E274,
      IF(C$3=3, Дані!$F274,
        IF(C$3=4, Дані!$G274,
          IF(C$3=5, Дані!$H274,
            IF(C$3=6, Дані!$I274,
              IF(C$3=7, Дані!$J274,
                IF(C$3=8, Дані!$K274,
                  IF(C$3=9, Дані!$L274,
                    IF(C$3=10, Дані!$M274, "")
                  )
                )
              )
            )
          )
        )
      )
    )
  )
)</f>
        <v>-</v>
      </c>
      <c r="I28" s="92" t="str">
        <f>IFERROR(IF(OR(H28="-", H28=0), "-", IF(COUNTIF(H29:$H$31,"&gt;0")=0, K$3-SUMIF($I$2:I27,"&gt;0"), ROUND(K$3*H28, 2))), "-")</f>
        <v>-</v>
      </c>
      <c r="J28" s="161"/>
      <c r="K28" s="164"/>
    </row>
    <row r="29" spans="1:11" s="43" customFormat="1" ht="30" customHeight="1" x14ac:dyDescent="0.25">
      <c r="A29" s="13">
        <f>Дані!A209</f>
        <v>27</v>
      </c>
      <c r="B29" s="86" t="str">
        <f>Дані!B209</f>
        <v>Виготовлення дерев'яних ящиків для перевезення посадкового матеріалу</v>
      </c>
      <c r="C29" s="158"/>
      <c r="D29" s="87" t="str">
        <f t="shared" si="0"/>
        <v>ні</v>
      </c>
      <c r="E29" s="88" t="str">
        <f>IF(C$3="-", "-",
  IF(C$3=1, Дані!$D209,
    IF(C$3=2, Дані!$E209,
      IF(C$3=3, Дані!$F209,
        IF(C$3=4, Дані!$G209,
          IF(C$3=5, Дані!$H209,
            IF(C$3=6, Дані!$I209,
              IF(C$3=7, Дані!$J209,
                IF(C$3=8, Дані!$K209,
                  IF(C$3=9, Дані!$L209,
                    IF(C$3=10, Дані!$M209, "")
                  )
                )
              )
            )
          )
        )
      )
    )
  )
)</f>
        <v>-</v>
      </c>
      <c r="F29" s="89" t="str">
        <f>Дані!C209</f>
        <v>ящик</v>
      </c>
      <c r="G29" s="90" t="str">
        <f t="shared" si="1"/>
        <v>-</v>
      </c>
      <c r="H29" s="91" t="str">
        <f>IF(C$3="-", "-",
  IF(C$3=1, Дані!$D275,
    IF(C$3=2, Дані!$E275,
      IF(C$3=3, Дані!$F275,
        IF(C$3=4, Дані!$G275,
          IF(C$3=5, Дані!$H275,
            IF(C$3=6, Дані!$I275,
              IF(C$3=7, Дані!$J275,
                IF(C$3=8, Дані!$K275,
                  IF(C$3=9, Дані!$L275,
                    IF(C$3=10, Дані!$M275, "")
                  )
                )
              )
            )
          )
        )
      )
    )
  )
)</f>
        <v>-</v>
      </c>
      <c r="I29" s="92" t="str">
        <f>IFERROR(IF(OR(H29="-", H29=0), "-", IF(COUNTIF(H30:$H$31,"&gt;0")=0, K$3-SUMIF($I$2:I28,"&gt;0"), ROUND(K$3*H29, 2))), "-")</f>
        <v>-</v>
      </c>
      <c r="J29" s="161"/>
      <c r="K29" s="164"/>
    </row>
    <row r="30" spans="1:11" s="43" customFormat="1" ht="30" customHeight="1" thickBot="1" x14ac:dyDescent="0.3">
      <c r="A30" s="15">
        <f>Дані!A210</f>
        <v>28</v>
      </c>
      <c r="B30" s="16" t="str">
        <f>Дані!B210</f>
        <v>Формування крон у новорічних дерев</v>
      </c>
      <c r="C30" s="159"/>
      <c r="D30" s="12" t="str">
        <f t="shared" si="0"/>
        <v>ні</v>
      </c>
      <c r="E30" s="44" t="str">
        <f>IF(C$3="-", "-",
  IF(C$3=1, Дані!$D210,
    IF(C$3=2, Дані!$E210,
      IF(C$3=3, Дані!$F210,
        IF(C$3=4, Дані!$G210,
          IF(C$3=5, Дані!$H210,
            IF(C$3=6, Дані!$I210,
              IF(C$3=7, Дані!$J210,
                IF(C$3=8, Дані!$K210,
                  IF(C$3=9, Дані!$L210,
                    IF(C$3=10, Дані!$M210, "")
                  )
                )
              )
            )
          )
        )
      )
    )
  )
)</f>
        <v>-</v>
      </c>
      <c r="F30" s="45" t="str">
        <f>Дані!C210</f>
        <v>шт.</v>
      </c>
      <c r="G30" s="46" t="str">
        <f t="shared" si="1"/>
        <v>-</v>
      </c>
      <c r="H30" s="47" t="str">
        <f>IF(C$3="-", "-",
  IF(C$3=1, Дані!$D276,
    IF(C$3=2, Дані!$E276,
      IF(C$3=3, Дані!$F276,
        IF(C$3=4, Дані!$G276,
          IF(C$3=5, Дані!$H276,
            IF(C$3=6, Дані!$I276,
              IF(C$3=7, Дані!$J276,
                IF(C$3=8, Дані!$K276,
                  IF(C$3=9, Дані!$L276,
                    IF(C$3=10, Дані!$M276, "")
                  )
                )
              )
            )
          )
        )
      )
    )
  )
)</f>
        <v>-</v>
      </c>
      <c r="I30" s="48" t="str">
        <f>IFERROR(IF(OR(H30="-", H30=0), "-", IF(COUNTIF(H31:$H$31,"&gt;0")=0, K$3-SUMIF($I$2:I29,"&gt;0"), ROUND(K$3*H30, 2))), "-")</f>
        <v>-</v>
      </c>
      <c r="J30" s="162"/>
      <c r="K30" s="165"/>
    </row>
    <row r="31" spans="1:11" ht="50.1" customHeight="1" thickBot="1" x14ac:dyDescent="0.3">
      <c r="A31" s="156" t="s">
        <v>13</v>
      </c>
      <c r="B31" s="156"/>
      <c r="C31" s="156"/>
      <c r="D31" s="156"/>
      <c r="E31" s="156"/>
      <c r="F31" s="156"/>
      <c r="G31" s="156"/>
      <c r="H31" s="156"/>
      <c r="I31" s="93"/>
      <c r="J31" s="93"/>
      <c r="K31" s="93"/>
    </row>
    <row r="32" spans="1:11" ht="54.75" customHeight="1" thickBot="1" x14ac:dyDescent="0.3">
      <c r="A32" s="77" t="s">
        <v>0</v>
      </c>
      <c r="B32" s="154" t="s">
        <v>17</v>
      </c>
      <c r="C32" s="154"/>
      <c r="D32" s="154"/>
      <c r="E32" s="154"/>
      <c r="F32" s="155"/>
      <c r="G32" s="76" t="s">
        <v>15</v>
      </c>
      <c r="H32" s="34" t="s">
        <v>9</v>
      </c>
      <c r="I32" s="50"/>
      <c r="J32" s="51"/>
      <c r="K32" s="51" t="str">
        <f ca="1">MID("0123456789", INT(RAND()*10)+1, 1) &amp;
 MID("ABCDEFGHIJKLMNOPQRSTUVWXYZ", INT(RAND()*26)+1, 1) &amp;
 MID("0123456789", INT(RAND()*10)+1, 1) &amp;
 MID("ABCDEFGHIJKLMNOPQRSTUVWXYZ", INT(RAND()*26)+1, 1) &amp;
 MID("0123456789", INT(RAND()*10)+1, 1) &amp;
 MID("ABCDEFGHIJKLMNOPQRSTUVWXYZ", INT(RAND()*26)+1, 1)</f>
        <v>1J3O0Q</v>
      </c>
    </row>
    <row r="33" spans="1:11" ht="39.950000000000003" customHeight="1" x14ac:dyDescent="0.25">
      <c r="A33" s="11" t="str">
        <f>Дані!A3</f>
        <v>1.</v>
      </c>
      <c r="B33" s="120" t="str">
        <f>Дані!B3</f>
        <v>Обробіток грунту:</v>
      </c>
      <c r="C33" s="120"/>
      <c r="D33" s="120"/>
      <c r="E33" s="120"/>
      <c r="F33" s="120"/>
      <c r="G33" s="62" t="s">
        <v>18</v>
      </c>
      <c r="H33" s="63"/>
      <c r="I33" s="75"/>
      <c r="J33" s="49" t="s">
        <v>14</v>
      </c>
      <c r="K33" s="52" t="s">
        <v>28</v>
      </c>
    </row>
    <row r="34" spans="1:11" ht="15" customHeight="1" x14ac:dyDescent="0.25">
      <c r="A34" s="24" t="str">
        <f>Дані!A4</f>
        <v>1.1.</v>
      </c>
      <c r="B34" s="125" t="str">
        <f>Дані!B4</f>
        <v xml:space="preserve">          - боронування всіх різновидностей грунту  в один слід бороною</v>
      </c>
      <c r="C34" s="125"/>
      <c r="D34" s="125"/>
      <c r="E34" s="125"/>
      <c r="F34" s="125"/>
      <c r="G34" s="56" t="str">
        <f>IFERROR(ROUND(H34*$G$3,2), "-")</f>
        <v>-</v>
      </c>
      <c r="H34" s="60">
        <f>Дані!C4</f>
        <v>6.1728395061728392E-2</v>
      </c>
      <c r="I34" s="51" t="str">
        <f ca="1">MID("0123456789ABCDEFGHIJKLMNOPQRSTUVWXYZ", MOD(NOW()*8640000,36)+1, 1) &amp;
 MID("0123456789ABCDEFGHIJKLMNOPQRSTUVWXYZ", INT(RAND()*36)+1, 1) &amp;
 MID("0123456789ABCDEFGHIJKLMNOPQRSTUVWXYZ", MOD(NOW()*864000000,36)+1, 1) &amp;
 MID("0123456789ABCDEFGHIJKLMNOPQRSTUVWXYZ", INT(RAND()*36)+1, 1) &amp;
 MID("0123456789ABCDEFGHIJKLMNOPQRSTUVWXYZ", MOD(SECOND(NOW())+MINUTE(NOW()),36)+1, 1) &amp;
 MID("0123456789ABCDEFGHIJKLMNOPQRSTUVWXYZ", INT(RAND()*36)+1, 1)</f>
        <v>FCOHKQ</v>
      </c>
      <c r="J34" s="51"/>
      <c r="K34" s="51"/>
    </row>
    <row r="35" spans="1:11" ht="15" customHeight="1" x14ac:dyDescent="0.25">
      <c r="A35" s="24" t="str">
        <f>Дані!A5</f>
        <v>1.2.</v>
      </c>
      <c r="B35" s="125" t="str">
        <f>Дані!B5</f>
        <v xml:space="preserve">          - підготовка грунту в розсаднику тракторною фрезою перед висіванням насіння</v>
      </c>
      <c r="C35" s="125"/>
      <c r="D35" s="125"/>
      <c r="E35" s="125"/>
      <c r="F35" s="125"/>
      <c r="G35" s="56" t="str">
        <f t="shared" ref="G35:G37" si="2">IFERROR(ROUND(H35*$G$3,2), "-")</f>
        <v>-</v>
      </c>
      <c r="H35" s="60">
        <f>Дані!C5</f>
        <v>9.8765432098765427E-2</v>
      </c>
      <c r="I35" s="51"/>
      <c r="J35" s="51"/>
      <c r="K35" s="51"/>
    </row>
    <row r="36" spans="1:11" s="23" customFormat="1" ht="15" customHeight="1" x14ac:dyDescent="0.25">
      <c r="A36" s="53" t="str">
        <f>Дані!A6</f>
        <v>1.3.</v>
      </c>
      <c r="B36" s="125" t="str">
        <f>Дані!B6</f>
        <v xml:space="preserve">          - очищення площі з вибиранням коріння та деревини, що залишилася після оранки</v>
      </c>
      <c r="C36" s="125"/>
      <c r="D36" s="125"/>
      <c r="E36" s="125"/>
      <c r="F36" s="125"/>
      <c r="G36" s="57" t="str">
        <f t="shared" si="2"/>
        <v>-</v>
      </c>
      <c r="H36" s="59">
        <f>Дані!C6</f>
        <v>1</v>
      </c>
      <c r="I36" s="55"/>
      <c r="J36" s="55"/>
      <c r="K36" s="55"/>
    </row>
    <row r="37" spans="1:11" ht="15" customHeight="1" thickBot="1" x14ac:dyDescent="0.3">
      <c r="A37" s="33" t="str">
        <f>Дані!A7</f>
        <v>1.4.</v>
      </c>
      <c r="B37" s="126" t="str">
        <f>Дані!B7</f>
        <v xml:space="preserve">          - коткування грунту</v>
      </c>
      <c r="C37" s="126"/>
      <c r="D37" s="126"/>
      <c r="E37" s="126"/>
      <c r="F37" s="126"/>
      <c r="G37" s="66" t="str">
        <f t="shared" si="2"/>
        <v>-</v>
      </c>
      <c r="H37" s="67">
        <f>Дані!C7</f>
        <v>8.6419753086419762E-2</v>
      </c>
      <c r="I37" s="51"/>
      <c r="J37" s="51"/>
      <c r="K37" s="51"/>
    </row>
    <row r="38" spans="1:11" s="23" customFormat="1" ht="39.950000000000003" customHeight="1" x14ac:dyDescent="0.25">
      <c r="A38" s="95" t="str">
        <f>Дані!A8</f>
        <v>2.</v>
      </c>
      <c r="B38" s="120" t="str">
        <f>Дані!B8</f>
        <v>Перекопування та планування обробленого ґрунту:</v>
      </c>
      <c r="C38" s="120"/>
      <c r="D38" s="120"/>
      <c r="E38" s="120"/>
      <c r="F38" s="120"/>
      <c r="G38" s="62" t="s">
        <v>18</v>
      </c>
      <c r="H38" s="63"/>
      <c r="I38" s="55"/>
      <c r="J38" s="55"/>
      <c r="K38" s="55"/>
    </row>
    <row r="39" spans="1:11" ht="30" customHeight="1" x14ac:dyDescent="0.25">
      <c r="A39" s="96" t="str">
        <f>Дані!A9</f>
        <v>2.1.</v>
      </c>
      <c r="B39" s="125" t="str">
        <f>Дані!B9</f>
        <v xml:space="preserve">          - планування обробленого ґрунту граблями з розбиванням груддя, з вибиранням коріння, каміння, дернини та віднесення їх на віддаль до 40 м на середньому грунті</v>
      </c>
      <c r="C39" s="125"/>
      <c r="D39" s="125"/>
      <c r="E39" s="125"/>
      <c r="F39" s="125"/>
      <c r="G39" s="56" t="str">
        <f>IFERROR(ROUND(H39*$G$4,2), "-")</f>
        <v>-</v>
      </c>
      <c r="H39" s="60">
        <f>Дані!C9</f>
        <v>0.28934010152284267</v>
      </c>
      <c r="I39" s="51"/>
      <c r="J39" s="51"/>
      <c r="K39" s="51"/>
    </row>
    <row r="40" spans="1:11" ht="30" customHeight="1" thickBot="1" x14ac:dyDescent="0.3">
      <c r="A40" s="97" t="str">
        <f>Дані!A10</f>
        <v>2.2.</v>
      </c>
      <c r="B40" s="126" t="str">
        <f>Дані!B10</f>
        <v xml:space="preserve">          - перекопування лопатою на один штик обробленого грунту з розбиванням груддя та вирівнювання поверхні граблями на середньому грунті </v>
      </c>
      <c r="C40" s="126"/>
      <c r="D40" s="126"/>
      <c r="E40" s="126"/>
      <c r="F40" s="126"/>
      <c r="G40" s="66" t="str">
        <f>IFERROR(ROUND(H40*$G$4,2), "-")</f>
        <v>-</v>
      </c>
      <c r="H40" s="60">
        <f>Дані!C10</f>
        <v>1</v>
      </c>
      <c r="I40" s="51"/>
      <c r="J40" s="51"/>
      <c r="K40" s="51"/>
    </row>
    <row r="41" spans="1:11" ht="39.950000000000003" customHeight="1" x14ac:dyDescent="0.25">
      <c r="A41" s="11" t="str">
        <f>Дані!A11</f>
        <v>3.</v>
      </c>
      <c r="B41" s="134" t="str">
        <f>Дані!B11</f>
        <v>Підготовка насіння до висівання:</v>
      </c>
      <c r="C41" s="120"/>
      <c r="D41" s="120"/>
      <c r="E41" s="120"/>
      <c r="F41" s="120"/>
      <c r="G41" s="98" t="s">
        <v>19</v>
      </c>
      <c r="H41" s="63"/>
      <c r="I41" s="51"/>
      <c r="J41" s="51"/>
      <c r="K41" s="51"/>
    </row>
    <row r="42" spans="1:11" ht="15" customHeight="1" x14ac:dyDescent="0.25">
      <c r="A42" s="24" t="str">
        <f>Дані!A12</f>
        <v>3.1.</v>
      </c>
      <c r="B42" s="147" t="str">
        <f>Дані!B12</f>
        <v xml:space="preserve">          - засипання жолудів у ями на зимове зберігання   </v>
      </c>
      <c r="C42" s="125"/>
      <c r="D42" s="125"/>
      <c r="E42" s="125"/>
      <c r="F42" s="125"/>
      <c r="G42" s="56" t="str">
        <f>IFERROR(ROUND(H42*$G$5,2), "-")</f>
        <v>-</v>
      </c>
      <c r="H42" s="60">
        <f>Дані!C12</f>
        <v>0.25</v>
      </c>
      <c r="I42" s="51"/>
      <c r="J42" s="51"/>
      <c r="K42" s="51"/>
    </row>
    <row r="43" spans="1:11" ht="15" customHeight="1" x14ac:dyDescent="0.25">
      <c r="A43" s="24" t="str">
        <f>Дані!A13</f>
        <v>3.2.</v>
      </c>
      <c r="B43" s="147" t="str">
        <f>Дані!B13</f>
        <v xml:space="preserve">          - вибирання жолудів із ями </v>
      </c>
      <c r="C43" s="125"/>
      <c r="D43" s="125"/>
      <c r="E43" s="125"/>
      <c r="F43" s="125"/>
      <c r="G43" s="56" t="str">
        <f t="shared" ref="G43:G45" si="3">IFERROR(ROUND(H43*$G$5,2), "-")</f>
        <v>-</v>
      </c>
      <c r="H43" s="60">
        <f>Дані!C13</f>
        <v>9.0425531914893623E-2</v>
      </c>
      <c r="I43" s="51"/>
      <c r="J43" s="51"/>
      <c r="K43" s="51"/>
    </row>
    <row r="44" spans="1:11" ht="15" customHeight="1" x14ac:dyDescent="0.25">
      <c r="A44" s="24" t="str">
        <f>Дані!A14</f>
        <v>3.3.</v>
      </c>
      <c r="B44" s="147" t="str">
        <f>Дані!B14</f>
        <v xml:space="preserve">          - затарювання насіння у мішки</v>
      </c>
      <c r="C44" s="125"/>
      <c r="D44" s="125"/>
      <c r="E44" s="125"/>
      <c r="F44" s="125"/>
      <c r="G44" s="56" t="str">
        <f t="shared" si="3"/>
        <v>-</v>
      </c>
      <c r="H44" s="60">
        <f>Дані!C14</f>
        <v>7.9787234042553196E-2</v>
      </c>
      <c r="I44" s="51"/>
      <c r="J44" s="51"/>
      <c r="K44" s="51"/>
    </row>
    <row r="45" spans="1:11" ht="15" customHeight="1" thickBot="1" x14ac:dyDescent="0.3">
      <c r="A45" s="33" t="str">
        <f>Дані!A15</f>
        <v>3.4.</v>
      </c>
      <c r="B45" s="148" t="str">
        <f>Дані!B15</f>
        <v xml:space="preserve">          - вибирання насіння з під снігу</v>
      </c>
      <c r="C45" s="126"/>
      <c r="D45" s="126"/>
      <c r="E45" s="126"/>
      <c r="F45" s="126"/>
      <c r="G45" s="56" t="str">
        <f t="shared" si="3"/>
        <v>-</v>
      </c>
      <c r="H45" s="67">
        <f>Дані!C15</f>
        <v>1</v>
      </c>
      <c r="I45" s="51"/>
      <c r="J45" s="51"/>
      <c r="K45" s="51"/>
    </row>
    <row r="46" spans="1:11" ht="39.950000000000003" customHeight="1" x14ac:dyDescent="0.25">
      <c r="A46" s="11" t="str">
        <f>Дані!A16</f>
        <v>4.</v>
      </c>
      <c r="B46" s="150" t="str">
        <f>Дані!B16</f>
        <v>Стратифікація, зволоження та протруювання насіння:</v>
      </c>
      <c r="C46" s="139"/>
      <c r="D46" s="139"/>
      <c r="E46" s="139"/>
      <c r="F46" s="139"/>
      <c r="G46" s="98" t="s">
        <v>19</v>
      </c>
      <c r="H46" s="63"/>
      <c r="I46" s="51"/>
      <c r="J46" s="51"/>
      <c r="K46" s="51"/>
    </row>
    <row r="47" spans="1:11" ht="15" customHeight="1" x14ac:dyDescent="0.25">
      <c r="A47" s="24" t="str">
        <f>Дані!A17</f>
        <v>4.1.</v>
      </c>
      <c r="B47" s="147" t="str">
        <f>Дані!B17</f>
        <v xml:space="preserve">          - стратифікація насіння</v>
      </c>
      <c r="C47" s="125"/>
      <c r="D47" s="125"/>
      <c r="E47" s="125"/>
      <c r="F47" s="125"/>
      <c r="G47" s="56" t="str">
        <f>IFERROR(ROUND(H47*$G$6,2), "-")</f>
        <v>-</v>
      </c>
      <c r="H47" s="60">
        <f>Дані!C17</f>
        <v>0.56575875486381322</v>
      </c>
      <c r="I47" s="51"/>
      <c r="J47" s="51"/>
      <c r="K47" s="51"/>
    </row>
    <row r="48" spans="1:11" ht="20.100000000000001" customHeight="1" x14ac:dyDescent="0.25">
      <c r="A48" s="24" t="str">
        <f>Дані!A18</f>
        <v>4.2.</v>
      </c>
      <c r="B48" s="132" t="str">
        <f>Дані!B18</f>
        <v xml:space="preserve">Перемішування та зволоження насіння у ящиках під час його зберігання та стратифікації:                                                                                            </v>
      </c>
      <c r="C48" s="124"/>
      <c r="D48" s="124"/>
      <c r="E48" s="124"/>
      <c r="F48" s="124"/>
      <c r="G48" s="64"/>
      <c r="H48" s="65"/>
      <c r="I48" s="51"/>
      <c r="J48" s="51"/>
      <c r="K48" s="51"/>
    </row>
    <row r="49" spans="1:11" ht="15" customHeight="1" x14ac:dyDescent="0.25">
      <c r="A49" s="24" t="str">
        <f>Дані!A19</f>
        <v>4.2.1.</v>
      </c>
      <c r="B49" s="129" t="str">
        <f>Дані!B19</f>
        <v xml:space="preserve">          - дрібного</v>
      </c>
      <c r="C49" s="122"/>
      <c r="D49" s="122"/>
      <c r="E49" s="122"/>
      <c r="F49" s="122"/>
      <c r="G49" s="56" t="str">
        <f>IFERROR(ROUND(H49*$G$6,2), "-")</f>
        <v>-</v>
      </c>
      <c r="H49" s="60">
        <f>Дані!C19</f>
        <v>0.37743190661478598</v>
      </c>
      <c r="I49" s="51"/>
      <c r="J49" s="51"/>
      <c r="K49" s="51"/>
    </row>
    <row r="50" spans="1:11" ht="15" customHeight="1" x14ac:dyDescent="0.25">
      <c r="A50" s="24" t="str">
        <f>Дані!A20</f>
        <v>4.2.2.</v>
      </c>
      <c r="B50" s="129" t="str">
        <f>Дані!B20</f>
        <v xml:space="preserve">          - середнього</v>
      </c>
      <c r="C50" s="122"/>
      <c r="D50" s="122"/>
      <c r="E50" s="122"/>
      <c r="F50" s="122"/>
      <c r="G50" s="56" t="str">
        <f t="shared" ref="G50:G52" si="4">IFERROR(ROUND(H50*$G$6,2), "-")</f>
        <v>-</v>
      </c>
      <c r="H50" s="60">
        <f>Дані!C20</f>
        <v>0.27003891050583662</v>
      </c>
      <c r="I50" s="51"/>
      <c r="J50" s="51"/>
      <c r="K50" s="51"/>
    </row>
    <row r="51" spans="1:11" ht="15" customHeight="1" x14ac:dyDescent="0.25">
      <c r="A51" s="24" t="str">
        <f>Дані!A21</f>
        <v>4.2.3.</v>
      </c>
      <c r="B51" s="129" t="str">
        <f>Дані!B21</f>
        <v xml:space="preserve">          -  великого</v>
      </c>
      <c r="C51" s="122"/>
      <c r="D51" s="122"/>
      <c r="E51" s="122"/>
      <c r="F51" s="122"/>
      <c r="G51" s="56" t="str">
        <f t="shared" si="4"/>
        <v>-</v>
      </c>
      <c r="H51" s="60">
        <f>Дані!C21</f>
        <v>9.8832684824902733E-2</v>
      </c>
      <c r="I51" s="51"/>
      <c r="J51" s="51"/>
      <c r="K51" s="51"/>
    </row>
    <row r="52" spans="1:11" ht="15" customHeight="1" x14ac:dyDescent="0.25">
      <c r="A52" s="24" t="str">
        <f>Дані!A22</f>
        <v>4.3.</v>
      </c>
      <c r="B52" s="147" t="str">
        <f>Дані!B22</f>
        <v xml:space="preserve">          - замочування насіння у холодній воді (глід, сосна звичайна та інші) </v>
      </c>
      <c r="C52" s="125"/>
      <c r="D52" s="125"/>
      <c r="E52" s="125"/>
      <c r="F52" s="125"/>
      <c r="G52" s="56" t="str">
        <f t="shared" si="4"/>
        <v>-</v>
      </c>
      <c r="H52" s="60">
        <f>Дані!C22</f>
        <v>0.14396887159533076</v>
      </c>
      <c r="I52" s="51"/>
      <c r="J52" s="51"/>
      <c r="K52" s="51"/>
    </row>
    <row r="53" spans="1:11" ht="20.100000000000001" customHeight="1" x14ac:dyDescent="0.25">
      <c r="A53" s="24" t="str">
        <f>Дані!A23</f>
        <v>4.4.</v>
      </c>
      <c r="B53" s="132" t="str">
        <f>Дані!B23</f>
        <v>Протруювання насіння фунгіцидами:</v>
      </c>
      <c r="C53" s="124"/>
      <c r="D53" s="124"/>
      <c r="E53" s="124"/>
      <c r="F53" s="124"/>
      <c r="G53" s="64"/>
      <c r="H53" s="65"/>
      <c r="I53" s="51"/>
      <c r="J53" s="51"/>
      <c r="K53" s="51"/>
    </row>
    <row r="54" spans="1:11" ht="15" customHeight="1" x14ac:dyDescent="0.25">
      <c r="A54" s="24" t="str">
        <f>Дані!A24</f>
        <v>4.4.1.</v>
      </c>
      <c r="B54" s="122" t="str">
        <f>Дані!B24</f>
        <v xml:space="preserve">          - сухим та напівсухим способом</v>
      </c>
      <c r="C54" s="122"/>
      <c r="D54" s="122"/>
      <c r="E54" s="122"/>
      <c r="F54" s="122"/>
      <c r="G54" s="56" t="str">
        <f>IFERROR(ROUND(H54*$G$6,2), "-")</f>
        <v>-</v>
      </c>
      <c r="H54" s="60">
        <f>Дані!C24</f>
        <v>0.61089494163424118</v>
      </c>
      <c r="I54" s="51"/>
      <c r="J54" s="51"/>
      <c r="K54" s="51"/>
    </row>
    <row r="55" spans="1:11" ht="15" customHeight="1" x14ac:dyDescent="0.25">
      <c r="A55" s="24" t="str">
        <f>Дані!A25</f>
        <v>4.4.2.</v>
      </c>
      <c r="B55" s="122" t="str">
        <f>Дані!B25</f>
        <v xml:space="preserve">          - мокрим способом</v>
      </c>
      <c r="C55" s="122"/>
      <c r="D55" s="122"/>
      <c r="E55" s="122"/>
      <c r="F55" s="122"/>
      <c r="G55" s="56" t="str">
        <f t="shared" ref="G55:G56" si="5">IFERROR(ROUND(H55*$G$6,2), "-")</f>
        <v>-</v>
      </c>
      <c r="H55" s="60">
        <f>Дані!C25</f>
        <v>1</v>
      </c>
      <c r="I55" s="51"/>
      <c r="J55" s="51"/>
      <c r="K55" s="51"/>
    </row>
    <row r="56" spans="1:11" s="100" customFormat="1" ht="15" customHeight="1" thickBot="1" x14ac:dyDescent="0.3">
      <c r="A56" s="97" t="str">
        <f>Дані!A26</f>
        <v>4.5.</v>
      </c>
      <c r="B56" s="126" t="str">
        <f>Дані!B26</f>
        <v xml:space="preserve">          - обробка насіння стимулятором росту</v>
      </c>
      <c r="C56" s="126"/>
      <c r="D56" s="126"/>
      <c r="E56" s="126"/>
      <c r="F56" s="126"/>
      <c r="G56" s="56" t="str">
        <f t="shared" si="5"/>
        <v>-</v>
      </c>
      <c r="H56" s="102">
        <f>Дані!C26</f>
        <v>0.61478599221789887</v>
      </c>
      <c r="I56" s="51"/>
      <c r="J56" s="51"/>
      <c r="K56" s="51"/>
    </row>
    <row r="57" spans="1:11" ht="39.950000000000003" customHeight="1" x14ac:dyDescent="0.25">
      <c r="A57" s="11" t="str">
        <f>Дані!A27</f>
        <v>5.</v>
      </c>
      <c r="B57" s="120" t="str">
        <f>Дані!B27</f>
        <v>Снігування насіння:</v>
      </c>
      <c r="C57" s="120"/>
      <c r="D57" s="120"/>
      <c r="E57" s="120"/>
      <c r="F57" s="120"/>
      <c r="G57" s="98" t="s">
        <v>19</v>
      </c>
      <c r="H57" s="63"/>
      <c r="I57" s="50"/>
      <c r="J57" s="51"/>
      <c r="K57" s="51"/>
    </row>
    <row r="58" spans="1:11" ht="15" customHeight="1" thickBot="1" x14ac:dyDescent="0.3">
      <c r="A58" s="26" t="str">
        <f>Дані!A28</f>
        <v>5.1.</v>
      </c>
      <c r="B58" s="149" t="str">
        <f>Дані!B28</f>
        <v xml:space="preserve">          - снігування насіння, затарених у мішки</v>
      </c>
      <c r="C58" s="149"/>
      <c r="D58" s="149"/>
      <c r="E58" s="149"/>
      <c r="F58" s="149"/>
      <c r="G58" s="68" t="str">
        <f>IFERROR(ROUND(H58*$G$7,2),"-")</f>
        <v>-</v>
      </c>
      <c r="H58" s="67">
        <f>Дані!C28</f>
        <v>1</v>
      </c>
      <c r="I58" s="50"/>
      <c r="J58" s="51"/>
      <c r="K58" s="51"/>
    </row>
    <row r="59" spans="1:11" ht="39.950000000000003" customHeight="1" x14ac:dyDescent="0.25">
      <c r="A59" s="11" t="str">
        <f>Дані!A29</f>
        <v>6.</v>
      </c>
      <c r="B59" s="144" t="str">
        <f>Дані!B29</f>
        <v>Заготівля снігу та льоду для снігування насіння з піднесенням до 50 м:</v>
      </c>
      <c r="C59" s="145"/>
      <c r="D59" s="145"/>
      <c r="E59" s="145"/>
      <c r="F59" s="146"/>
      <c r="G59" s="98" t="s">
        <v>20</v>
      </c>
      <c r="H59" s="63"/>
      <c r="I59" s="50"/>
      <c r="J59" s="51"/>
      <c r="K59" s="51"/>
    </row>
    <row r="60" spans="1:11" ht="15" customHeight="1" x14ac:dyDescent="0.25">
      <c r="A60" s="25" t="str">
        <f>Дані!A30</f>
        <v>6.1.</v>
      </c>
      <c r="B60" s="125" t="str">
        <f>Дані!B30</f>
        <v xml:space="preserve">          - снігу</v>
      </c>
      <c r="C60" s="125"/>
      <c r="D60" s="125"/>
      <c r="E60" s="125"/>
      <c r="F60" s="125"/>
      <c r="G60" s="56" t="str">
        <f>IFERROR(ROUND(H60*$G$8,2),"-")</f>
        <v>-</v>
      </c>
      <c r="H60" s="60">
        <f>Дані!C30</f>
        <v>0.42836381252270794</v>
      </c>
      <c r="I60" s="50"/>
      <c r="J60" s="51"/>
      <c r="K60" s="51"/>
    </row>
    <row r="61" spans="1:11" ht="15" customHeight="1" thickBot="1" x14ac:dyDescent="0.3">
      <c r="A61" s="26" t="str">
        <f>Дані!A31</f>
        <v>6.2.</v>
      </c>
      <c r="B61" s="126" t="str">
        <f>Дані!B31</f>
        <v xml:space="preserve">          - льоду</v>
      </c>
      <c r="C61" s="126"/>
      <c r="D61" s="126"/>
      <c r="E61" s="126"/>
      <c r="F61" s="126"/>
      <c r="G61" s="56" t="str">
        <f>IFERROR(ROUND(H61*$G$8,2),"-")</f>
        <v>-</v>
      </c>
      <c r="H61" s="67">
        <f>Дані!C31</f>
        <v>1</v>
      </c>
      <c r="I61" s="50"/>
      <c r="J61" s="51"/>
      <c r="K61" s="51"/>
    </row>
    <row r="62" spans="1:11" ht="39.950000000000003" customHeight="1" x14ac:dyDescent="0.25">
      <c r="A62" s="11" t="str">
        <f>Дані!A32</f>
        <v>7.</v>
      </c>
      <c r="B62" s="120" t="str">
        <f>Дані!B32</f>
        <v>Висівання насіння:</v>
      </c>
      <c r="C62" s="120"/>
      <c r="D62" s="120"/>
      <c r="E62" s="120"/>
      <c r="F62" s="120"/>
      <c r="G62" s="98" t="s">
        <v>21</v>
      </c>
      <c r="H62" s="63"/>
      <c r="I62" s="51"/>
      <c r="J62" s="51"/>
      <c r="K62" s="51"/>
    </row>
    <row r="63" spans="1:11" ht="20.100000000000001" customHeight="1" x14ac:dyDescent="0.25">
      <c r="A63" s="25" t="str">
        <f>Дані!A33</f>
        <v>7.1.</v>
      </c>
      <c r="B63" s="124" t="str">
        <f>Дані!B33</f>
        <v>Посів розсадника:</v>
      </c>
      <c r="C63" s="124"/>
      <c r="D63" s="124"/>
      <c r="E63" s="124"/>
      <c r="F63" s="124"/>
      <c r="G63" s="64"/>
      <c r="H63" s="65"/>
      <c r="I63" s="51"/>
      <c r="J63" s="51"/>
      <c r="K63" s="51"/>
    </row>
    <row r="64" spans="1:11" ht="15" customHeight="1" x14ac:dyDescent="0.25">
      <c r="A64" s="25" t="str">
        <f>Дані!A34</f>
        <v>7.1.1.</v>
      </c>
      <c r="B64" s="122" t="str">
        <f>Дані!B34</f>
        <v xml:space="preserve">          - висівання дрібного насіння</v>
      </c>
      <c r="C64" s="122"/>
      <c r="D64" s="122"/>
      <c r="E64" s="122"/>
      <c r="F64" s="122"/>
      <c r="G64" s="56" t="str">
        <f>IFERROR(ROUND(H64*$G$9,2),"-")</f>
        <v>-</v>
      </c>
      <c r="H64" s="60">
        <f>Дані!C34</f>
        <v>1</v>
      </c>
      <c r="I64" s="51"/>
      <c r="J64" s="51"/>
      <c r="K64" s="51"/>
    </row>
    <row r="65" spans="1:11" ht="15" customHeight="1" x14ac:dyDescent="0.25">
      <c r="A65" s="25" t="str">
        <f>Дані!A35</f>
        <v>7.1.2.</v>
      </c>
      <c r="B65" s="123" t="str">
        <f>Дані!B35</f>
        <v xml:space="preserve">          - висівання середнього насіння</v>
      </c>
      <c r="C65" s="123"/>
      <c r="D65" s="123"/>
      <c r="E65" s="123"/>
      <c r="F65" s="123"/>
      <c r="G65" s="56" t="str">
        <f t="shared" ref="G65:G67" si="6">IFERROR(ROUND(H65*$G$9,2),"-")</f>
        <v>-</v>
      </c>
      <c r="H65" s="60">
        <f>Дані!C35</f>
        <v>0.83296213808463249</v>
      </c>
      <c r="I65" s="51"/>
      <c r="J65" s="51"/>
      <c r="K65" s="51"/>
    </row>
    <row r="66" spans="1:11" ht="15" customHeight="1" x14ac:dyDescent="0.25">
      <c r="A66" s="24" t="str">
        <f>Дані!A36</f>
        <v>7.1.3.</v>
      </c>
      <c r="B66" s="122" t="str">
        <f>Дані!B36</f>
        <v xml:space="preserve">          - висівання великого насіння</v>
      </c>
      <c r="C66" s="122"/>
      <c r="D66" s="122"/>
      <c r="E66" s="122"/>
      <c r="F66" s="122"/>
      <c r="G66" s="56" t="str">
        <f t="shared" si="6"/>
        <v>-</v>
      </c>
      <c r="H66" s="60">
        <f>Дані!C36</f>
        <v>0.69376391982182628</v>
      </c>
      <c r="I66" s="51"/>
      <c r="J66" s="51"/>
      <c r="K66" s="51"/>
    </row>
    <row r="67" spans="1:11" ht="15" customHeight="1" x14ac:dyDescent="0.25">
      <c r="A67" s="24" t="str">
        <f>Дані!A37</f>
        <v>7.2.</v>
      </c>
      <c r="B67" s="125" t="str">
        <f>Дані!B37</f>
        <v xml:space="preserve">          - висівання дрібного насіння ручною сівалкою СС-1, СЛ-1</v>
      </c>
      <c r="C67" s="125"/>
      <c r="D67" s="125"/>
      <c r="E67" s="125"/>
      <c r="F67" s="125"/>
      <c r="G67" s="56" t="str">
        <f t="shared" si="6"/>
        <v>-</v>
      </c>
      <c r="H67" s="60">
        <f>Дані!C37</f>
        <v>6.347438752783964E-2</v>
      </c>
      <c r="I67" s="51"/>
      <c r="J67" s="51"/>
      <c r="K67" s="51"/>
    </row>
    <row r="68" spans="1:11" ht="20.100000000000001" customHeight="1" x14ac:dyDescent="0.25">
      <c r="A68" s="24" t="str">
        <f>Дані!A38</f>
        <v>7.3.</v>
      </c>
      <c r="B68" s="124" t="str">
        <f>Дані!B38</f>
        <v>Утворення борозен під висівання насіння шнуром або дерев`яним борозником при глибині борозен:</v>
      </c>
      <c r="C68" s="124"/>
      <c r="D68" s="124"/>
      <c r="E68" s="124"/>
      <c r="F68" s="124"/>
      <c r="G68" s="64"/>
      <c r="H68" s="65"/>
      <c r="I68" s="51"/>
      <c r="J68" s="51"/>
      <c r="K68" s="51"/>
    </row>
    <row r="69" spans="1:11" ht="15" customHeight="1" x14ac:dyDescent="0.25">
      <c r="A69" s="96" t="str">
        <f>Дані!A39</f>
        <v>7.3.1.</v>
      </c>
      <c r="B69" s="122" t="str">
        <f>Дані!B39</f>
        <v xml:space="preserve">          - до 3 см </v>
      </c>
      <c r="C69" s="122"/>
      <c r="D69" s="122"/>
      <c r="E69" s="122"/>
      <c r="F69" s="122"/>
      <c r="G69" s="56" t="str">
        <f>IFERROR(ROUND(H69*$G$9,2),"-")</f>
        <v>-</v>
      </c>
      <c r="H69" s="60">
        <f>Дані!C39</f>
        <v>0.17483296213808464</v>
      </c>
      <c r="I69" s="51"/>
      <c r="J69" s="51"/>
      <c r="K69" s="51"/>
    </row>
    <row r="70" spans="1:11" x14ac:dyDescent="0.25">
      <c r="A70" s="24" t="str">
        <f>Дані!A40</f>
        <v>7.3.2.</v>
      </c>
      <c r="B70" s="122" t="str">
        <f>Дані!B40</f>
        <v xml:space="preserve">          - 4-7 см </v>
      </c>
      <c r="C70" s="122"/>
      <c r="D70" s="122"/>
      <c r="E70" s="122"/>
      <c r="F70" s="122"/>
      <c r="G70" s="56" t="str">
        <f t="shared" ref="G70:G71" si="7">IFERROR(ROUND(H70*$G$9,2),"-")</f>
        <v>-</v>
      </c>
      <c r="H70" s="60">
        <f>Дані!C40</f>
        <v>0.24164810690423164</v>
      </c>
      <c r="I70" s="51"/>
      <c r="J70" s="51"/>
      <c r="K70" s="51"/>
    </row>
    <row r="71" spans="1:11" ht="15" customHeight="1" thickBot="1" x14ac:dyDescent="0.3">
      <c r="A71" s="107" t="str">
        <f>Дані!A41</f>
        <v>7.4.</v>
      </c>
      <c r="B71" s="143" t="str">
        <f>Дані!B41</f>
        <v xml:space="preserve">          - засипання мульчею посівів дрібного насіння</v>
      </c>
      <c r="C71" s="143"/>
      <c r="D71" s="143"/>
      <c r="E71" s="143"/>
      <c r="F71" s="143"/>
      <c r="G71" s="56" t="str">
        <f t="shared" si="7"/>
        <v>-</v>
      </c>
      <c r="H71" s="67">
        <f>Дані!C41</f>
        <v>0.4532293986636971</v>
      </c>
      <c r="I71" s="51"/>
      <c r="J71" s="51"/>
      <c r="K71" s="51"/>
    </row>
    <row r="72" spans="1:11" s="106" customFormat="1" ht="39.950000000000003" customHeight="1" x14ac:dyDescent="0.25">
      <c r="A72" s="103" t="str">
        <f>Дані!A42</f>
        <v>8.</v>
      </c>
      <c r="B72" s="131" t="str">
        <f>Дані!B42</f>
        <v>Висівання насіння в короби та теплиці:</v>
      </c>
      <c r="C72" s="131"/>
      <c r="D72" s="131"/>
      <c r="E72" s="131"/>
      <c r="F72" s="131"/>
      <c r="G72" s="98" t="s">
        <v>18</v>
      </c>
      <c r="H72" s="63"/>
      <c r="I72" s="104"/>
      <c r="J72" s="105"/>
      <c r="K72" s="105"/>
    </row>
    <row r="73" spans="1:11" ht="15.75" thickBot="1" x14ac:dyDescent="0.3">
      <c r="A73" s="28" t="str">
        <f>Дані!A43</f>
        <v>8.1.</v>
      </c>
      <c r="B73" s="126" t="str">
        <f>Дані!B43</f>
        <v xml:space="preserve">          - висівання насіння в короби та теплиці</v>
      </c>
      <c r="C73" s="126"/>
      <c r="D73" s="126"/>
      <c r="E73" s="126"/>
      <c r="F73" s="126"/>
      <c r="G73" s="68" t="str">
        <f>IFERROR(ROUND(H73*$G$10,2),"-")</f>
        <v>-</v>
      </c>
      <c r="H73" s="67">
        <f>Дані!C43</f>
        <v>1</v>
      </c>
      <c r="I73" s="50"/>
      <c r="J73" s="51"/>
      <c r="K73" s="51"/>
    </row>
    <row r="74" spans="1:11" ht="39.950000000000003" customHeight="1" x14ac:dyDescent="0.25">
      <c r="A74" s="11" t="str">
        <f>Дані!A44</f>
        <v>9.</v>
      </c>
      <c r="B74" s="144" t="str">
        <f>Дані!B44</f>
        <v>Висівання у касети:</v>
      </c>
      <c r="C74" s="145"/>
      <c r="D74" s="145"/>
      <c r="E74" s="145"/>
      <c r="F74" s="146"/>
      <c r="G74" s="108" t="s">
        <v>22</v>
      </c>
      <c r="H74" s="70"/>
      <c r="I74" s="50"/>
      <c r="J74" s="51"/>
      <c r="K74" s="51"/>
    </row>
    <row r="75" spans="1:11" ht="15" customHeight="1" x14ac:dyDescent="0.25">
      <c r="A75" s="25" t="str">
        <f>Дані!A45</f>
        <v>9.1.</v>
      </c>
      <c r="B75" s="141" t="str">
        <f>Дані!B45</f>
        <v xml:space="preserve">          - висів жолудів у касети </v>
      </c>
      <c r="C75" s="141"/>
      <c r="D75" s="141"/>
      <c r="E75" s="141"/>
      <c r="F75" s="141"/>
      <c r="G75" s="56" t="str">
        <f>IFERROR(ROUND(H75*$G$11,2),"-")</f>
        <v>-</v>
      </c>
      <c r="H75" s="60">
        <f>Дані!C45</f>
        <v>1</v>
      </c>
      <c r="I75" s="50"/>
      <c r="J75" s="51"/>
      <c r="K75" s="51"/>
    </row>
    <row r="76" spans="1:11" ht="15" customHeight="1" thickBot="1" x14ac:dyDescent="0.3">
      <c r="A76" s="26" t="str">
        <f>Дані!A46</f>
        <v>9.2.</v>
      </c>
      <c r="B76" s="142" t="str">
        <f>Дані!B46</f>
        <v xml:space="preserve">          - висів насіння хвойних порід у касети</v>
      </c>
      <c r="C76" s="142"/>
      <c r="D76" s="142"/>
      <c r="E76" s="142"/>
      <c r="F76" s="142"/>
      <c r="G76" s="56" t="str">
        <f>IFERROR(ROUND(H76*$G$11,2),"-")</f>
        <v>-</v>
      </c>
      <c r="H76" s="67">
        <f>Дані!C46</f>
        <v>0.45355191256830601</v>
      </c>
      <c r="I76" s="50"/>
      <c r="J76" s="51"/>
      <c r="K76" s="51"/>
    </row>
    <row r="77" spans="1:11" s="23" customFormat="1" ht="39.950000000000003" customHeight="1" x14ac:dyDescent="0.25">
      <c r="A77" s="94" t="str">
        <f>Дані!A47</f>
        <v>10.</v>
      </c>
      <c r="B77" s="131" t="str">
        <f>Дані!B47</f>
        <v>Догляд за сіянцями та саджанцями:</v>
      </c>
      <c r="C77" s="131"/>
      <c r="D77" s="131"/>
      <c r="E77" s="131"/>
      <c r="F77" s="131"/>
      <c r="G77" s="98" t="s">
        <v>18</v>
      </c>
      <c r="H77" s="63"/>
      <c r="I77" s="54"/>
      <c r="J77" s="55"/>
      <c r="K77" s="55"/>
    </row>
    <row r="78" spans="1:11" ht="15" customHeight="1" x14ac:dyDescent="0.25">
      <c r="A78" s="25" t="str">
        <f>Дані!A48</f>
        <v>10.1.</v>
      </c>
      <c r="B78" s="141" t="str">
        <f>Дані!B48</f>
        <v xml:space="preserve">          - поливання посівів зі шлангу</v>
      </c>
      <c r="C78" s="141"/>
      <c r="D78" s="141"/>
      <c r="E78" s="141"/>
      <c r="F78" s="141"/>
      <c r="G78" s="56" t="str">
        <f>IFERROR(ROUND(H78*$G$12,2),"-")</f>
        <v>-</v>
      </c>
      <c r="H78" s="60">
        <f>Дані!C48</f>
        <v>0.21019108280254778</v>
      </c>
      <c r="I78" s="50"/>
      <c r="J78" s="51"/>
      <c r="K78" s="51"/>
    </row>
    <row r="79" spans="1:11" ht="15" customHeight="1" x14ac:dyDescent="0.25">
      <c r="A79" s="25" t="str">
        <f>Дані!A49</f>
        <v>10.2.</v>
      </c>
      <c r="B79" s="141" t="str">
        <f>Дані!B49</f>
        <v xml:space="preserve">          - зняття затінюючої сітки, плівки, агроволокна</v>
      </c>
      <c r="C79" s="141"/>
      <c r="D79" s="141"/>
      <c r="E79" s="141"/>
      <c r="F79" s="141"/>
      <c r="G79" s="56" t="str">
        <f t="shared" ref="G79:G83" si="8">IFERROR(ROUND(H79*$G$12,2),"-")</f>
        <v>-</v>
      </c>
      <c r="H79" s="60">
        <f>Дані!C49</f>
        <v>1</v>
      </c>
      <c r="I79" s="50"/>
      <c r="J79" s="51"/>
      <c r="K79" s="51"/>
    </row>
    <row r="80" spans="1:11" ht="15" customHeight="1" x14ac:dyDescent="0.25">
      <c r="A80" s="25" t="str">
        <f>Дані!A50</f>
        <v>10.3.</v>
      </c>
      <c r="B80" s="141" t="str">
        <f>Дані!B50</f>
        <v xml:space="preserve">          - внесення мінеральних добрив у грунт шляхом розкидання ручним способом</v>
      </c>
      <c r="C80" s="141"/>
      <c r="D80" s="141"/>
      <c r="E80" s="141"/>
      <c r="F80" s="141"/>
      <c r="G80" s="56" t="str">
        <f t="shared" si="8"/>
        <v>-</v>
      </c>
      <c r="H80" s="60">
        <f>Дані!C50</f>
        <v>4.4585987261146501E-2</v>
      </c>
      <c r="I80" s="50"/>
      <c r="J80" s="51"/>
      <c r="K80" s="51"/>
    </row>
    <row r="81" spans="1:11" ht="15" customHeight="1" x14ac:dyDescent="0.25">
      <c r="A81" s="25" t="str">
        <f>Дані!A51</f>
        <v>10.4.</v>
      </c>
      <c r="B81" s="141" t="str">
        <f>Дані!B51</f>
        <v xml:space="preserve">          - протруювання грунту хімікатом</v>
      </c>
      <c r="C81" s="141"/>
      <c r="D81" s="141"/>
      <c r="E81" s="141"/>
      <c r="F81" s="141"/>
      <c r="G81" s="56" t="str">
        <f t="shared" si="8"/>
        <v>-</v>
      </c>
      <c r="H81" s="60">
        <f>Дані!C51</f>
        <v>0.30573248407643311</v>
      </c>
      <c r="I81" s="50"/>
      <c r="J81" s="51"/>
      <c r="K81" s="51"/>
    </row>
    <row r="82" spans="1:11" ht="15" customHeight="1" x14ac:dyDescent="0.25">
      <c r="A82" s="25" t="str">
        <f>Дані!A52</f>
        <v>10.5.</v>
      </c>
      <c r="B82" s="125" t="str">
        <f>Дані!B52</f>
        <v xml:space="preserve">          - очищення доріжок від бурянів мотикою в розсаднику</v>
      </c>
      <c r="C82" s="125"/>
      <c r="D82" s="125"/>
      <c r="E82" s="125"/>
      <c r="F82" s="125"/>
      <c r="G82" s="56" t="str">
        <f t="shared" si="8"/>
        <v>-</v>
      </c>
      <c r="H82" s="60">
        <f>Дані!C52</f>
        <v>0.71337579617834401</v>
      </c>
      <c r="I82" s="50"/>
      <c r="J82" s="51"/>
      <c r="K82" s="51"/>
    </row>
    <row r="83" spans="1:11" ht="15" customHeight="1" thickBot="1" x14ac:dyDescent="0.3">
      <c r="A83" s="26" t="str">
        <f>Дані!A53</f>
        <v>10.6.</v>
      </c>
      <c r="B83" s="126" t="str">
        <f>Дані!B53</f>
        <v xml:space="preserve">          - догляд за сіянцями та саджанцями грунтофрезою (мотоблоком) з наявністю бур'янів</v>
      </c>
      <c r="C83" s="126"/>
      <c r="D83" s="126"/>
      <c r="E83" s="126"/>
      <c r="F83" s="126"/>
      <c r="G83" s="56" t="str">
        <f t="shared" si="8"/>
        <v>-</v>
      </c>
      <c r="H83" s="67">
        <f>Дані!C53</f>
        <v>0.94267515923566869</v>
      </c>
      <c r="I83" s="50"/>
      <c r="J83" s="51"/>
      <c r="K83" s="51"/>
    </row>
    <row r="84" spans="1:11" ht="39.950000000000003" customHeight="1" x14ac:dyDescent="0.25">
      <c r="A84" s="11" t="str">
        <f>Дані!A54</f>
        <v>11.</v>
      </c>
      <c r="B84" s="120" t="str">
        <f>Дані!B54</f>
        <v>Покривання сіянців та саджанців затіняючою сіткою, плівкою, агроволокном:</v>
      </c>
      <c r="C84" s="120"/>
      <c r="D84" s="120"/>
      <c r="E84" s="120"/>
      <c r="F84" s="120"/>
      <c r="G84" s="69" t="s">
        <v>18</v>
      </c>
      <c r="H84" s="70"/>
      <c r="I84" s="50"/>
      <c r="J84" s="51"/>
      <c r="K84" s="51"/>
    </row>
    <row r="85" spans="1:11" ht="15" customHeight="1" thickBot="1" x14ac:dyDescent="0.3">
      <c r="A85" s="27" t="str">
        <f>Дані!A55</f>
        <v>11.1.</v>
      </c>
      <c r="B85" s="133" t="str">
        <f>Дані!B55</f>
        <v xml:space="preserve">          - покривання сіянців та саджанців затіняючою сіткою, плівкою, агроволокном</v>
      </c>
      <c r="C85" s="133"/>
      <c r="D85" s="133"/>
      <c r="E85" s="133"/>
      <c r="F85" s="133"/>
      <c r="G85" s="58" t="str">
        <f>IFERROR(ROUND(H85*$G$13,2),"-")</f>
        <v>-</v>
      </c>
      <c r="H85" s="61">
        <f>Дані!C55</f>
        <v>1</v>
      </c>
      <c r="I85" s="50"/>
      <c r="J85" s="51"/>
      <c r="K85" s="51"/>
    </row>
    <row r="86" spans="1:11" ht="39.950000000000003" customHeight="1" x14ac:dyDescent="0.25">
      <c r="A86" s="11" t="str">
        <f>Дані!A56</f>
        <v>12.</v>
      </c>
      <c r="B86" s="139" t="str">
        <f>Дані!B56</f>
        <v>Обприскування та підживлення рослин:</v>
      </c>
      <c r="C86" s="139"/>
      <c r="D86" s="139"/>
      <c r="E86" s="139"/>
      <c r="F86" s="139"/>
      <c r="G86" s="69" t="s">
        <v>18</v>
      </c>
      <c r="H86" s="70"/>
      <c r="I86" s="50"/>
      <c r="J86" s="51"/>
      <c r="K86" s="51"/>
    </row>
    <row r="87" spans="1:11" ht="15" customHeight="1" x14ac:dyDescent="0.25">
      <c r="A87" s="25" t="str">
        <f>Дані!A57</f>
        <v>12.1.</v>
      </c>
      <c r="B87" s="135" t="str">
        <f>Дані!B57</f>
        <v xml:space="preserve">          - обприскування  рослин в розсадниках, прибудинкових зелених зон території лісництва, коробах та теплицях отрутохімікатами із обприскувача </v>
      </c>
      <c r="C87" s="135"/>
      <c r="D87" s="135"/>
      <c r="E87" s="135"/>
      <c r="F87" s="135"/>
      <c r="G87" s="56" t="str">
        <f>IFERROR(ROUND(H87*$G$14,2),"-")</f>
        <v>-</v>
      </c>
      <c r="H87" s="60">
        <f>Дані!C57</f>
        <v>1</v>
      </c>
      <c r="I87" s="50"/>
      <c r="J87" s="51"/>
      <c r="K87" s="51"/>
    </row>
    <row r="88" spans="1:11" ht="15" customHeight="1" thickBot="1" x14ac:dyDescent="0.3">
      <c r="A88" s="26" t="str">
        <f>Дані!A58</f>
        <v>12.2.</v>
      </c>
      <c r="B88" s="136" t="str">
        <f>Дані!B58</f>
        <v xml:space="preserve">          - підживлення  рослин у парниках, теплицях мінеральними добривами із поливалки або обприскувача </v>
      </c>
      <c r="C88" s="136"/>
      <c r="D88" s="136"/>
      <c r="E88" s="136"/>
      <c r="F88" s="136"/>
      <c r="G88" s="56" t="str">
        <f>IFERROR(ROUND(H88*$G$14,2),"-")</f>
        <v>-</v>
      </c>
      <c r="H88" s="67">
        <f>Дані!C58</f>
        <v>0.81896551724137934</v>
      </c>
      <c r="I88" s="50"/>
      <c r="J88" s="51"/>
      <c r="K88" s="51"/>
    </row>
    <row r="89" spans="1:11" s="109" customFormat="1" ht="39.950000000000003" customHeight="1" x14ac:dyDescent="0.25">
      <c r="A89" s="95" t="str">
        <f>Дані!A59</f>
        <v>13.</v>
      </c>
      <c r="B89" s="120" t="str">
        <f>Дані!B59</f>
        <v>Прополювання посівів у теплицях або коробах:</v>
      </c>
      <c r="C89" s="120"/>
      <c r="D89" s="120"/>
      <c r="E89" s="120"/>
      <c r="F89" s="120"/>
      <c r="G89" s="69" t="s">
        <v>18</v>
      </c>
      <c r="H89" s="70"/>
      <c r="I89" s="104"/>
      <c r="J89" s="105"/>
      <c r="K89" s="105"/>
    </row>
    <row r="90" spans="1:11" ht="20.100000000000001" customHeight="1" x14ac:dyDescent="0.25">
      <c r="A90" s="25" t="str">
        <f>Дані!A60</f>
        <v>13.1.</v>
      </c>
      <c r="B90" s="140" t="str">
        <f>Дані!B60</f>
        <v>Прополювання посівів у теплицях або коробах:</v>
      </c>
      <c r="C90" s="140"/>
      <c r="D90" s="140"/>
      <c r="E90" s="140"/>
      <c r="F90" s="140"/>
      <c r="G90" s="64"/>
      <c r="H90" s="65"/>
      <c r="I90" s="50"/>
      <c r="J90" s="51"/>
      <c r="K90" s="51"/>
    </row>
    <row r="91" spans="1:11" ht="15" customHeight="1" x14ac:dyDescent="0.25">
      <c r="A91" s="25" t="str">
        <f>Дані!A61</f>
        <v>13.1.1.</v>
      </c>
      <c r="B91" s="122" t="str">
        <f>Дані!B61</f>
        <v xml:space="preserve">          - слабка забур'яненість</v>
      </c>
      <c r="C91" s="122"/>
      <c r="D91" s="122"/>
      <c r="E91" s="122"/>
      <c r="F91" s="122"/>
      <c r="G91" s="56" t="str">
        <f>IFERROR(ROUND(H91*$G$15,2),"-")</f>
        <v>-</v>
      </c>
      <c r="H91" s="60">
        <f>Дані!C61</f>
        <v>0.34785992217898831</v>
      </c>
      <c r="I91" s="50"/>
      <c r="J91" s="51"/>
      <c r="K91" s="51"/>
    </row>
    <row r="92" spans="1:11" ht="15" customHeight="1" x14ac:dyDescent="0.25">
      <c r="A92" s="25" t="str">
        <f>Дані!A62</f>
        <v>13.1.2.</v>
      </c>
      <c r="B92" s="122" t="str">
        <f>Дані!B62</f>
        <v xml:space="preserve">          - середня забур'яненість</v>
      </c>
      <c r="C92" s="122"/>
      <c r="D92" s="122"/>
      <c r="E92" s="122"/>
      <c r="F92" s="122"/>
      <c r="G92" s="56" t="str">
        <f t="shared" ref="G92:G93" si="9">IFERROR(ROUND(H92*$G$15,2),"-")</f>
        <v>-</v>
      </c>
      <c r="H92" s="60">
        <f>Дані!C62</f>
        <v>0.53307392996108949</v>
      </c>
      <c r="I92" s="50"/>
      <c r="J92" s="51"/>
      <c r="K92" s="51"/>
    </row>
    <row r="93" spans="1:11" s="23" customFormat="1" ht="15" customHeight="1" thickBot="1" x14ac:dyDescent="0.3">
      <c r="A93" s="110" t="str">
        <f>Дані!A63</f>
        <v>13.1.3.</v>
      </c>
      <c r="B93" s="127" t="str">
        <f>Дані!B63</f>
        <v xml:space="preserve">          - велика забур'яненість</v>
      </c>
      <c r="C93" s="127"/>
      <c r="D93" s="127"/>
      <c r="E93" s="127"/>
      <c r="F93" s="127"/>
      <c r="G93" s="56" t="str">
        <f t="shared" si="9"/>
        <v>-</v>
      </c>
      <c r="H93" s="67">
        <f>Дані!C63</f>
        <v>1</v>
      </c>
      <c r="I93" s="50"/>
      <c r="J93" s="51"/>
      <c r="K93" s="51"/>
    </row>
    <row r="94" spans="1:11" ht="39.950000000000003" customHeight="1" x14ac:dyDescent="0.25">
      <c r="A94" s="11" t="str">
        <f>Дані!A64</f>
        <v>14.</v>
      </c>
      <c r="B94" s="138" t="str">
        <f>Дані!B64</f>
        <v>Розпушування грунту та прополювання посівів:</v>
      </c>
      <c r="C94" s="138"/>
      <c r="D94" s="138"/>
      <c r="E94" s="138"/>
      <c r="F94" s="138"/>
      <c r="G94" s="69" t="s">
        <v>18</v>
      </c>
      <c r="H94" s="70"/>
      <c r="I94" s="51"/>
      <c r="J94" s="51"/>
      <c r="K94" s="51"/>
    </row>
    <row r="95" spans="1:11" ht="30" customHeight="1" x14ac:dyDescent="0.25">
      <c r="A95" s="25" t="str">
        <f>Дані!A65</f>
        <v>14.1.</v>
      </c>
      <c r="B95" s="121" t="str">
        <f>Дані!B65</f>
        <v>Розпушування грунту сапою на грядкових та стрічкових посівах без ручного прополювання бур'янів в рядах після появи сходів насіння на грунтах, обробленої площі:</v>
      </c>
      <c r="C95" s="121"/>
      <c r="D95" s="121"/>
      <c r="E95" s="121"/>
      <c r="F95" s="121"/>
      <c r="G95" s="71"/>
      <c r="H95" s="72"/>
      <c r="I95" s="51"/>
      <c r="J95" s="51"/>
      <c r="K95" s="51"/>
    </row>
    <row r="96" spans="1:11" s="23" customFormat="1" ht="20.100000000000001" customHeight="1" x14ac:dyDescent="0.25">
      <c r="A96" s="29" t="str">
        <f>Дані!A66</f>
        <v>14.1.1.</v>
      </c>
      <c r="B96" s="137" t="str">
        <f>Дані!B66</f>
        <v>легких та середніх при забур`яненості:</v>
      </c>
      <c r="C96" s="137"/>
      <c r="D96" s="137"/>
      <c r="E96" s="137"/>
      <c r="F96" s="137"/>
      <c r="G96" s="71"/>
      <c r="H96" s="72"/>
      <c r="I96" s="51"/>
      <c r="J96" s="51"/>
      <c r="K96" s="51"/>
    </row>
    <row r="97" spans="1:11" ht="15" customHeight="1" x14ac:dyDescent="0.25">
      <c r="A97" s="25" t="str">
        <f>Дані!A67</f>
        <v>14.1.2.</v>
      </c>
      <c r="B97" s="122" t="str">
        <f>Дані!B67</f>
        <v xml:space="preserve">          - незначній або слабкій</v>
      </c>
      <c r="C97" s="122"/>
      <c r="D97" s="122"/>
      <c r="E97" s="122"/>
      <c r="F97" s="122"/>
      <c r="G97" s="56" t="str">
        <f>IFERROR(ROUND(H97*$G$16,2),"-")</f>
        <v>-</v>
      </c>
      <c r="H97" s="60">
        <f>Дані!C67</f>
        <v>0.16561181434599156</v>
      </c>
      <c r="I97" s="51"/>
      <c r="J97" s="51"/>
      <c r="K97" s="51"/>
    </row>
    <row r="98" spans="1:11" ht="15" customHeight="1" x14ac:dyDescent="0.25">
      <c r="A98" s="25" t="str">
        <f>Дані!A68</f>
        <v>14.1.3.</v>
      </c>
      <c r="B98" s="122" t="str">
        <f>Дані!B68</f>
        <v xml:space="preserve">          - середній</v>
      </c>
      <c r="C98" s="122"/>
      <c r="D98" s="122"/>
      <c r="E98" s="122"/>
      <c r="F98" s="122"/>
      <c r="G98" s="56" t="str">
        <f>IFERROR(ROUND(H98*$G$16,2),"-")</f>
        <v>-</v>
      </c>
      <c r="H98" s="60">
        <f>Дані!C68</f>
        <v>0.19514767932489452</v>
      </c>
      <c r="I98" s="51"/>
      <c r="J98" s="51"/>
      <c r="K98" s="51"/>
    </row>
    <row r="99" spans="1:11" ht="20.100000000000001" customHeight="1" x14ac:dyDescent="0.25">
      <c r="A99" s="25" t="str">
        <f>Дані!A69</f>
        <v>14.1.4.</v>
      </c>
      <c r="B99" s="124" t="str">
        <f>Дані!B69</f>
        <v>важких при забур`яненості:</v>
      </c>
      <c r="C99" s="124"/>
      <c r="D99" s="124"/>
      <c r="E99" s="124"/>
      <c r="F99" s="124"/>
      <c r="G99" s="71"/>
      <c r="H99" s="72"/>
      <c r="I99" s="51"/>
      <c r="J99" s="51"/>
      <c r="K99" s="51"/>
    </row>
    <row r="100" spans="1:11" s="23" customFormat="1" ht="15" customHeight="1" x14ac:dyDescent="0.25">
      <c r="A100" s="29" t="str">
        <f>Дані!A70</f>
        <v>14.1.5.</v>
      </c>
      <c r="B100" s="122" t="str">
        <f>Дані!B70</f>
        <v xml:space="preserve">          - незначній або слабкій</v>
      </c>
      <c r="C100" s="122"/>
      <c r="D100" s="122"/>
      <c r="E100" s="122"/>
      <c r="F100" s="122"/>
      <c r="G100" s="56" t="str">
        <f t="shared" ref="G100:G101" si="10">IFERROR(ROUND(H100*$G$16,2),"-")</f>
        <v>-</v>
      </c>
      <c r="H100" s="60">
        <f>Дані!C70</f>
        <v>0.19725738396624473</v>
      </c>
      <c r="I100" s="51"/>
      <c r="J100" s="51"/>
      <c r="K100" s="51"/>
    </row>
    <row r="101" spans="1:11" ht="15" customHeight="1" x14ac:dyDescent="0.25">
      <c r="A101" s="25" t="str">
        <f>Дані!A71</f>
        <v>14.1.6.</v>
      </c>
      <c r="B101" s="122" t="str">
        <f>Дані!B71</f>
        <v xml:space="preserve">          - середній</v>
      </c>
      <c r="C101" s="122"/>
      <c r="D101" s="122"/>
      <c r="E101" s="122"/>
      <c r="F101" s="122"/>
      <c r="G101" s="56" t="str">
        <f t="shared" si="10"/>
        <v>-</v>
      </c>
      <c r="H101" s="60">
        <f>Дані!C71</f>
        <v>0.25</v>
      </c>
      <c r="I101" s="51"/>
      <c r="J101" s="51"/>
      <c r="K101" s="51"/>
    </row>
    <row r="102" spans="1:11" ht="30" customHeight="1" x14ac:dyDescent="0.25">
      <c r="A102" s="25" t="str">
        <f>Дані!A72</f>
        <v>14.2.</v>
      </c>
      <c r="B102" s="121" t="str">
        <f>Дані!B72</f>
        <v>Розпушування грунту сапою на грядкових та стрічкових посівах з прополюванням бур`янів руками в рядках посівів на грунтах, обробленої площі:</v>
      </c>
      <c r="C102" s="121"/>
      <c r="D102" s="121"/>
      <c r="E102" s="121"/>
      <c r="F102" s="121"/>
      <c r="G102" s="71"/>
      <c r="H102" s="72"/>
      <c r="I102" s="51"/>
      <c r="J102" s="51"/>
      <c r="K102" s="51"/>
    </row>
    <row r="103" spans="1:11" s="23" customFormat="1" ht="20.100000000000001" customHeight="1" x14ac:dyDescent="0.25">
      <c r="A103" s="29" t="str">
        <f>Дані!A73</f>
        <v>14.2.1.</v>
      </c>
      <c r="B103" s="137" t="str">
        <f>Дані!B73</f>
        <v>легких та середніх при забур`яненості:</v>
      </c>
      <c r="C103" s="137"/>
      <c r="D103" s="137"/>
      <c r="E103" s="137"/>
      <c r="F103" s="137"/>
      <c r="G103" s="71"/>
      <c r="H103" s="72"/>
      <c r="I103" s="51"/>
      <c r="J103" s="51"/>
      <c r="K103" s="51"/>
    </row>
    <row r="104" spans="1:11" ht="15" customHeight="1" x14ac:dyDescent="0.25">
      <c r="A104" s="25" t="str">
        <f>Дані!A74</f>
        <v>14.2.2.</v>
      </c>
      <c r="B104" s="122" t="str">
        <f>Дані!B74</f>
        <v xml:space="preserve">          - слабкій</v>
      </c>
      <c r="C104" s="122"/>
      <c r="D104" s="122"/>
      <c r="E104" s="122"/>
      <c r="F104" s="122"/>
      <c r="G104" s="56" t="str">
        <f t="shared" ref="G104:G105" si="11">IFERROR(ROUND(H104*$G$16,2),"-")</f>
        <v>-</v>
      </c>
      <c r="H104" s="60">
        <f>Дані!C74</f>
        <v>0.42932489451476796</v>
      </c>
      <c r="I104" s="51"/>
      <c r="J104" s="51"/>
      <c r="K104" s="51"/>
    </row>
    <row r="105" spans="1:11" ht="15" customHeight="1" x14ac:dyDescent="0.25">
      <c r="A105" s="25" t="str">
        <f>Дані!A75</f>
        <v>14.2.3.</v>
      </c>
      <c r="B105" s="122" t="str">
        <f>Дані!B75</f>
        <v xml:space="preserve">          - середній</v>
      </c>
      <c r="C105" s="122"/>
      <c r="D105" s="122"/>
      <c r="E105" s="122"/>
      <c r="F105" s="122"/>
      <c r="G105" s="56" t="str">
        <f t="shared" si="11"/>
        <v>-</v>
      </c>
      <c r="H105" s="60">
        <f>Дані!C75</f>
        <v>0.53481012658227844</v>
      </c>
      <c r="I105" s="51"/>
      <c r="J105" s="51"/>
      <c r="K105" s="51"/>
    </row>
    <row r="106" spans="1:11" ht="20.100000000000001" customHeight="1" x14ac:dyDescent="0.25">
      <c r="A106" s="25" t="str">
        <f>Дані!A76</f>
        <v>14.2.4.</v>
      </c>
      <c r="B106" s="124" t="str">
        <f>Дані!B76</f>
        <v>важких при забур`яненості:</v>
      </c>
      <c r="C106" s="124"/>
      <c r="D106" s="124"/>
      <c r="E106" s="124"/>
      <c r="F106" s="124"/>
      <c r="G106" s="71"/>
      <c r="H106" s="72"/>
      <c r="I106" s="51"/>
      <c r="J106" s="51"/>
      <c r="K106" s="51"/>
    </row>
    <row r="107" spans="1:11" s="23" customFormat="1" ht="15" customHeight="1" x14ac:dyDescent="0.25">
      <c r="A107" s="29" t="str">
        <f>Дані!A77</f>
        <v>14.2.5.</v>
      </c>
      <c r="B107" s="122" t="str">
        <f>Дані!B77</f>
        <v xml:space="preserve">          - слабкій</v>
      </c>
      <c r="C107" s="122"/>
      <c r="D107" s="122"/>
      <c r="E107" s="122"/>
      <c r="F107" s="122"/>
      <c r="G107" s="56" t="str">
        <f t="shared" ref="G107:G108" si="12">IFERROR(ROUND(H107*$G$16,2),"-")</f>
        <v>-</v>
      </c>
      <c r="H107" s="60">
        <f>Дані!C77</f>
        <v>0.64029535864978904</v>
      </c>
      <c r="I107" s="51"/>
      <c r="J107" s="51"/>
      <c r="K107" s="51"/>
    </row>
    <row r="108" spans="1:11" ht="15" customHeight="1" x14ac:dyDescent="0.25">
      <c r="A108" s="25" t="str">
        <f>Дані!A78</f>
        <v>14.2.6.</v>
      </c>
      <c r="B108" s="122" t="str">
        <f>Дані!B78</f>
        <v xml:space="preserve">          - середній</v>
      </c>
      <c r="C108" s="122"/>
      <c r="D108" s="122"/>
      <c r="E108" s="122"/>
      <c r="F108" s="122"/>
      <c r="G108" s="56" t="str">
        <f t="shared" si="12"/>
        <v>-</v>
      </c>
      <c r="H108" s="60">
        <f>Дані!C78</f>
        <v>0.80907172995780585</v>
      </c>
      <c r="I108" s="51"/>
      <c r="J108" s="51"/>
      <c r="K108" s="51"/>
    </row>
    <row r="109" spans="1:11" ht="30" customHeight="1" x14ac:dyDescent="0.25">
      <c r="A109" s="24" t="str">
        <f>Дані!A79</f>
        <v>14.3.</v>
      </c>
      <c r="B109" s="121" t="str">
        <f>Дані!B79</f>
        <v>Прополювання посівів у рядах, видалення, збирання, винесення бур`янів на віддаль до 50 м при забур`яненості, обробленої площі:</v>
      </c>
      <c r="C109" s="121"/>
      <c r="D109" s="121"/>
      <c r="E109" s="121"/>
      <c r="F109" s="121"/>
      <c r="G109" s="71"/>
      <c r="H109" s="72"/>
      <c r="I109" s="51"/>
      <c r="J109" s="51"/>
      <c r="K109" s="51"/>
    </row>
    <row r="110" spans="1:11" ht="15" customHeight="1" x14ac:dyDescent="0.25">
      <c r="A110" s="96" t="str">
        <f>Дані!A80</f>
        <v>14.3.1.</v>
      </c>
      <c r="B110" s="123" t="str">
        <f>Дані!B80</f>
        <v xml:space="preserve">          - слабкій</v>
      </c>
      <c r="C110" s="123"/>
      <c r="D110" s="123"/>
      <c r="E110" s="123"/>
      <c r="F110" s="123"/>
      <c r="G110" s="56" t="str">
        <f t="shared" ref="G110:G112" si="13">IFERROR(ROUND(H110*$G$16,2),"-")</f>
        <v>-</v>
      </c>
      <c r="H110" s="60">
        <f>Дані!C80</f>
        <v>0.64029535864978904</v>
      </c>
      <c r="I110" s="51"/>
      <c r="J110" s="51"/>
      <c r="K110" s="51"/>
    </row>
    <row r="111" spans="1:11" ht="15" customHeight="1" x14ac:dyDescent="0.25">
      <c r="A111" s="96" t="str">
        <f>Дані!A81</f>
        <v>14.3.2.</v>
      </c>
      <c r="B111" s="122" t="str">
        <f>Дані!B81</f>
        <v xml:space="preserve">          - середній</v>
      </c>
      <c r="C111" s="122"/>
      <c r="D111" s="122"/>
      <c r="E111" s="122"/>
      <c r="F111" s="122"/>
      <c r="G111" s="56" t="str">
        <f t="shared" si="13"/>
        <v>-</v>
      </c>
      <c r="H111" s="60">
        <f>Дані!C81</f>
        <v>0.810126582278481</v>
      </c>
      <c r="I111" s="51"/>
      <c r="J111" s="51"/>
      <c r="K111" s="51"/>
    </row>
    <row r="112" spans="1:11" ht="15" customHeight="1" x14ac:dyDescent="0.25">
      <c r="A112" s="96" t="str">
        <f>Дані!A82</f>
        <v>14.3.3.</v>
      </c>
      <c r="B112" s="122" t="str">
        <f>Дані!B82</f>
        <v xml:space="preserve">          - великій</v>
      </c>
      <c r="C112" s="122"/>
      <c r="D112" s="122"/>
      <c r="E112" s="122"/>
      <c r="F112" s="122"/>
      <c r="G112" s="56" t="str">
        <f t="shared" si="13"/>
        <v>-</v>
      </c>
      <c r="H112" s="60">
        <f>Дані!C82</f>
        <v>1</v>
      </c>
      <c r="I112" s="51"/>
      <c r="J112" s="51"/>
      <c r="K112" s="51"/>
    </row>
    <row r="113" spans="1:11" ht="20.100000000000001" customHeight="1" x14ac:dyDescent="0.25">
      <c r="A113" s="96" t="str">
        <f>Дані!A83</f>
        <v>14.4.</v>
      </c>
      <c r="B113" s="121" t="str">
        <f>Дані!B83</f>
        <v>Розпушування грунту граблями на стрічкових посівах до появи сходів на грунтах:</v>
      </c>
      <c r="C113" s="121"/>
      <c r="D113" s="121"/>
      <c r="E113" s="121"/>
      <c r="F113" s="121"/>
      <c r="G113" s="71"/>
      <c r="H113" s="72"/>
      <c r="I113" s="51"/>
      <c r="J113" s="51"/>
      <c r="K113" s="51"/>
    </row>
    <row r="114" spans="1:11" s="112" customFormat="1" ht="15" customHeight="1" x14ac:dyDescent="0.25">
      <c r="A114" s="114" t="str">
        <f>Дані!A84</f>
        <v>14.4.1.</v>
      </c>
      <c r="B114" s="122" t="str">
        <f>Дані!B84</f>
        <v xml:space="preserve">          - легких та середніх</v>
      </c>
      <c r="C114" s="122"/>
      <c r="D114" s="122"/>
      <c r="E114" s="122"/>
      <c r="F114" s="122"/>
      <c r="G114" s="99" t="str">
        <f t="shared" ref="G114:G115" si="14">IFERROR(ROUND(H114*$G$16,2),"-")</f>
        <v>-</v>
      </c>
      <c r="H114" s="113">
        <f>Дані!C84</f>
        <v>9.1772151898734167E-2</v>
      </c>
      <c r="I114" s="111"/>
      <c r="J114" s="111"/>
      <c r="K114" s="111"/>
    </row>
    <row r="115" spans="1:11" ht="15" customHeight="1" x14ac:dyDescent="0.25">
      <c r="A115" s="96" t="str">
        <f>Дані!A85</f>
        <v>14.4.2.</v>
      </c>
      <c r="B115" s="122" t="str">
        <f>Дані!B85</f>
        <v xml:space="preserve">          - важких</v>
      </c>
      <c r="C115" s="122"/>
      <c r="D115" s="122"/>
      <c r="E115" s="122"/>
      <c r="F115" s="122"/>
      <c r="G115" s="99" t="str">
        <f t="shared" si="14"/>
        <v>-</v>
      </c>
      <c r="H115" s="113">
        <f>Дані!C85</f>
        <v>0.15084388185654007</v>
      </c>
      <c r="I115" s="51"/>
      <c r="J115" s="51"/>
      <c r="K115" s="51"/>
    </row>
    <row r="116" spans="1:11" ht="20.100000000000001" customHeight="1" x14ac:dyDescent="0.25">
      <c r="A116" s="96" t="str">
        <f>Дані!A86</f>
        <v>14.5.</v>
      </c>
      <c r="B116" s="121" t="str">
        <f>Дані!B86</f>
        <v>Розпушування грунту мотикою в рядках саджанців на грунтах при забур`яненості, обробленої площі:</v>
      </c>
      <c r="C116" s="121"/>
      <c r="D116" s="121"/>
      <c r="E116" s="121"/>
      <c r="F116" s="121"/>
      <c r="G116" s="71"/>
      <c r="H116" s="72"/>
      <c r="I116" s="51"/>
      <c r="J116" s="51"/>
      <c r="K116" s="51"/>
    </row>
    <row r="117" spans="1:11" ht="15" customHeight="1" x14ac:dyDescent="0.25">
      <c r="A117" s="25" t="str">
        <f>Дані!A87</f>
        <v>14.5.1.</v>
      </c>
      <c r="B117" s="122" t="str">
        <f>Дані!B87</f>
        <v xml:space="preserve">          - слабкій</v>
      </c>
      <c r="C117" s="122"/>
      <c r="D117" s="122"/>
      <c r="E117" s="122"/>
      <c r="F117" s="122"/>
      <c r="G117" s="56" t="str">
        <f t="shared" ref="G117:G119" si="15">IFERROR(ROUND(H117*$G$16,2),"-")</f>
        <v>-</v>
      </c>
      <c r="H117" s="60">
        <f>Дані!C87</f>
        <v>0.24578059071729957</v>
      </c>
      <c r="I117" s="51"/>
      <c r="J117" s="51"/>
      <c r="K117" s="51"/>
    </row>
    <row r="118" spans="1:11" ht="15" customHeight="1" x14ac:dyDescent="0.25">
      <c r="A118" s="25" t="str">
        <f>Дані!A88</f>
        <v>14.5.2.</v>
      </c>
      <c r="B118" s="122" t="str">
        <f>Дані!B88</f>
        <v xml:space="preserve">          - середній</v>
      </c>
      <c r="C118" s="122"/>
      <c r="D118" s="122"/>
      <c r="E118" s="122"/>
      <c r="F118" s="122"/>
      <c r="G118" s="56" t="str">
        <f t="shared" si="15"/>
        <v>-</v>
      </c>
      <c r="H118" s="60">
        <f>Дані!C88</f>
        <v>0.37236286919831219</v>
      </c>
      <c r="I118" s="51"/>
      <c r="J118" s="51"/>
      <c r="K118" s="51"/>
    </row>
    <row r="119" spans="1:11" ht="15" customHeight="1" thickBot="1" x14ac:dyDescent="0.3">
      <c r="A119" s="26" t="str">
        <f>Дані!A89</f>
        <v>14.5.3.</v>
      </c>
      <c r="B119" s="127" t="str">
        <f>Дані!B89</f>
        <v xml:space="preserve">          - великій</v>
      </c>
      <c r="C119" s="127"/>
      <c r="D119" s="127"/>
      <c r="E119" s="127"/>
      <c r="F119" s="127"/>
      <c r="G119" s="66" t="str">
        <f t="shared" si="15"/>
        <v>-</v>
      </c>
      <c r="H119" s="67">
        <f>Дані!C89</f>
        <v>0.49894514767932491</v>
      </c>
      <c r="I119" s="51"/>
      <c r="J119" s="51"/>
      <c r="K119" s="51"/>
    </row>
    <row r="120" spans="1:11" ht="39.950000000000003" customHeight="1" x14ac:dyDescent="0.25">
      <c r="A120" s="11" t="str">
        <f>Дані!A90</f>
        <v>15.</v>
      </c>
      <c r="B120" s="120" t="str">
        <f>Дані!B90</f>
        <v>Затінення посівів щитами:</v>
      </c>
      <c r="C120" s="120"/>
      <c r="D120" s="120"/>
      <c r="E120" s="120"/>
      <c r="F120" s="120"/>
      <c r="G120" s="108" t="s">
        <v>23</v>
      </c>
      <c r="H120" s="70"/>
      <c r="I120" s="50"/>
      <c r="J120" s="51"/>
      <c r="K120" s="51"/>
    </row>
    <row r="121" spans="1:11" ht="15" customHeight="1" thickBot="1" x14ac:dyDescent="0.3">
      <c r="A121" s="26" t="str">
        <f>Дані!A91</f>
        <v>15.1.</v>
      </c>
      <c r="B121" s="126" t="str">
        <f>Дані!B91</f>
        <v xml:space="preserve">          - затінення посівів щитами </v>
      </c>
      <c r="C121" s="126"/>
      <c r="D121" s="126"/>
      <c r="E121" s="126"/>
      <c r="F121" s="126"/>
      <c r="G121" s="66" t="str">
        <f>IFERROR(ROUND(H121*$G$17,2),"-")</f>
        <v>-</v>
      </c>
      <c r="H121" s="67">
        <f>Дані!C91</f>
        <v>1</v>
      </c>
      <c r="I121" s="50"/>
      <c r="J121" s="51"/>
      <c r="K121" s="51"/>
    </row>
    <row r="122" spans="1:11" ht="39.950000000000003" customHeight="1" x14ac:dyDescent="0.25">
      <c r="A122" s="32" t="str">
        <f>Дані!A92</f>
        <v>16.</v>
      </c>
      <c r="B122" s="131" t="str">
        <f>Дані!B92</f>
        <v>Послуги в теплицях та шкільних відділеннях лісових розсадників (низької вартості):</v>
      </c>
      <c r="C122" s="131"/>
      <c r="D122" s="131"/>
      <c r="E122" s="131"/>
      <c r="F122" s="131"/>
      <c r="G122" s="115" t="s">
        <v>24</v>
      </c>
      <c r="H122" s="74"/>
      <c r="I122" s="50"/>
      <c r="J122" s="51"/>
      <c r="K122" s="51"/>
    </row>
    <row r="123" spans="1:11" ht="15" customHeight="1" x14ac:dyDescent="0.25">
      <c r="A123" s="25" t="str">
        <f>Дані!A93</f>
        <v>16.1.</v>
      </c>
      <c r="B123" s="125" t="str">
        <f>Дані!B93</f>
        <v xml:space="preserve">          - заготівля живців</v>
      </c>
      <c r="C123" s="125"/>
      <c r="D123" s="125"/>
      <c r="E123" s="125"/>
      <c r="F123" s="125"/>
      <c r="G123" s="56" t="str">
        <f>IFERROR(ROUND(H123*$G$18,2),"-")</f>
        <v>-</v>
      </c>
      <c r="H123" s="60">
        <f>Дані!C93</f>
        <v>0.39146800501882056</v>
      </c>
      <c r="I123" s="50"/>
      <c r="J123" s="51"/>
      <c r="K123" s="51"/>
    </row>
    <row r="124" spans="1:11" ht="15" customHeight="1" x14ac:dyDescent="0.25">
      <c r="A124" s="25" t="str">
        <f>Дані!A94</f>
        <v>16.2.</v>
      </c>
      <c r="B124" s="125" t="str">
        <f>Дані!B94</f>
        <v xml:space="preserve">          - садіння саджанців (живців) у відкритий оброблений грунт під меч Колесова або лопату</v>
      </c>
      <c r="C124" s="125"/>
      <c r="D124" s="125"/>
      <c r="E124" s="125"/>
      <c r="F124" s="125"/>
      <c r="G124" s="56" t="str">
        <f t="shared" ref="G124:G125" si="16">IFERROR(ROUND(H124*$G$18,2),"-")</f>
        <v>-</v>
      </c>
      <c r="H124" s="60">
        <f>Дані!C94</f>
        <v>1</v>
      </c>
      <c r="I124" s="50"/>
      <c r="J124" s="51"/>
      <c r="K124" s="51"/>
    </row>
    <row r="125" spans="1:11" ht="15" customHeight="1" thickBot="1" x14ac:dyDescent="0.3">
      <c r="A125" s="26" t="str">
        <f>Дані!A95</f>
        <v>16.3.</v>
      </c>
      <c r="B125" s="126" t="str">
        <f>Дані!B95</f>
        <v xml:space="preserve">          - викопування лопатою саджанців під пологом лісу</v>
      </c>
      <c r="C125" s="126"/>
      <c r="D125" s="126"/>
      <c r="E125" s="126"/>
      <c r="F125" s="126"/>
      <c r="G125" s="56" t="str">
        <f t="shared" si="16"/>
        <v>-</v>
      </c>
      <c r="H125" s="67">
        <f>Дані!C95</f>
        <v>0.58594730238393977</v>
      </c>
      <c r="I125" s="50"/>
      <c r="J125" s="51"/>
      <c r="K125" s="51"/>
    </row>
    <row r="126" spans="1:11" ht="39.950000000000003" customHeight="1" x14ac:dyDescent="0.25">
      <c r="A126" s="11" t="str">
        <f>Дані!A96</f>
        <v>17.</v>
      </c>
      <c r="B126" s="120" t="str">
        <f>Дані!B96</f>
        <v>Послуги в теплицях та шкільних відділеннях лісових розсадників (середньої вартості):</v>
      </c>
      <c r="C126" s="120"/>
      <c r="D126" s="120"/>
      <c r="E126" s="120"/>
      <c r="F126" s="120"/>
      <c r="G126" s="73" t="s">
        <v>24</v>
      </c>
      <c r="H126" s="70"/>
      <c r="I126" s="50"/>
      <c r="J126" s="51"/>
      <c r="K126" s="51"/>
    </row>
    <row r="127" spans="1:11" ht="15" customHeight="1" x14ac:dyDescent="0.25">
      <c r="A127" s="25" t="str">
        <f>Дані!A97</f>
        <v>17.1.</v>
      </c>
      <c r="B127" s="135" t="str">
        <f>Дані!B97</f>
        <v xml:space="preserve">          - садіння невкорінених живців</v>
      </c>
      <c r="C127" s="135"/>
      <c r="D127" s="135"/>
      <c r="E127" s="135"/>
      <c r="F127" s="135"/>
      <c r="G127" s="56" t="str">
        <f>IFERROR(ROUND(H127*$G$19,2),"-")</f>
        <v>-</v>
      </c>
      <c r="H127" s="60">
        <f>Дані!C97</f>
        <v>0.43029779887785929</v>
      </c>
      <c r="I127" s="50"/>
      <c r="J127" s="51"/>
      <c r="K127" s="51"/>
    </row>
    <row r="128" spans="1:11" ht="20.100000000000001" customHeight="1" x14ac:dyDescent="0.25">
      <c r="A128" s="25" t="str">
        <f>Дані!A98</f>
        <v>17.2.</v>
      </c>
      <c r="B128" s="135" t="str">
        <f>Дані!B98</f>
        <v xml:space="preserve">          - садіння укорінених живців в касети, горщики</v>
      </c>
      <c r="C128" s="135"/>
      <c r="D128" s="135"/>
      <c r="E128" s="135"/>
      <c r="F128" s="135"/>
      <c r="G128" s="56" t="str">
        <f t="shared" ref="G128:G129" si="17">IFERROR(ROUND(H128*$G$19,2),"-")</f>
        <v>-</v>
      </c>
      <c r="H128" s="60">
        <f>Дані!C98</f>
        <v>0.6892533448424687</v>
      </c>
      <c r="I128" s="50"/>
      <c r="J128" s="51"/>
      <c r="K128" s="51"/>
    </row>
    <row r="129" spans="1:11" ht="15" customHeight="1" thickBot="1" x14ac:dyDescent="0.3">
      <c r="A129" s="26" t="str">
        <f>Дані!A99</f>
        <v>17.3.</v>
      </c>
      <c r="B129" s="136" t="str">
        <f>Дані!B99</f>
        <v xml:space="preserve">          - переміщення ящиків із порожніми горшками</v>
      </c>
      <c r="C129" s="136"/>
      <c r="D129" s="136"/>
      <c r="E129" s="136"/>
      <c r="F129" s="136"/>
      <c r="G129" s="56" t="str">
        <f t="shared" si="17"/>
        <v>-</v>
      </c>
      <c r="H129" s="67">
        <f>Дані!C99</f>
        <v>1</v>
      </c>
      <c r="I129" s="50"/>
      <c r="J129" s="51"/>
      <c r="K129" s="51"/>
    </row>
    <row r="130" spans="1:11" ht="39.950000000000003" customHeight="1" x14ac:dyDescent="0.25">
      <c r="A130" s="11" t="str">
        <f>Дані!A100</f>
        <v>18.</v>
      </c>
      <c r="B130" s="120" t="str">
        <f>Дані!B100</f>
        <v>Послуги в теплицях та шкільних відділеннях лісових розсадників (високої вартості):</v>
      </c>
      <c r="C130" s="120"/>
      <c r="D130" s="120"/>
      <c r="E130" s="120"/>
      <c r="F130" s="120"/>
      <c r="G130" s="73" t="s">
        <v>24</v>
      </c>
      <c r="H130" s="70"/>
      <c r="I130" s="50"/>
      <c r="J130" s="51"/>
      <c r="K130" s="51"/>
    </row>
    <row r="131" spans="1:11" ht="15" customHeight="1" x14ac:dyDescent="0.25">
      <c r="A131" s="25" t="str">
        <f>Дані!A101</f>
        <v>18.1.</v>
      </c>
      <c r="B131" s="125" t="str">
        <f>Дані!B101</f>
        <v xml:space="preserve">          - щеплення, пінцерування та окулірування рослин</v>
      </c>
      <c r="C131" s="125"/>
      <c r="D131" s="125"/>
      <c r="E131" s="125"/>
      <c r="F131" s="125"/>
      <c r="G131" s="56" t="str">
        <f>IFERROR(ROUND(H131*$G$20,2),"-")</f>
        <v>-</v>
      </c>
      <c r="H131" s="60">
        <f>Дані!C101</f>
        <v>1</v>
      </c>
      <c r="I131" s="50"/>
      <c r="J131" s="51"/>
      <c r="K131" s="51"/>
    </row>
    <row r="132" spans="1:11" ht="15" customHeight="1" x14ac:dyDescent="0.25">
      <c r="A132" s="25" t="str">
        <f>Дані!A102</f>
        <v>18.2.</v>
      </c>
      <c r="B132" s="125" t="str">
        <f>Дані!B102</f>
        <v xml:space="preserve">          - наповнення касет земляною сумішшю</v>
      </c>
      <c r="C132" s="125"/>
      <c r="D132" s="125"/>
      <c r="E132" s="125"/>
      <c r="F132" s="125"/>
      <c r="G132" s="56" t="str">
        <f t="shared" ref="G132:G133" si="18">IFERROR(ROUND(H132*$G$20,2),"-")</f>
        <v>-</v>
      </c>
      <c r="H132" s="60">
        <f>Дані!C102</f>
        <v>0.70501474926253682</v>
      </c>
      <c r="I132" s="50"/>
      <c r="J132" s="51"/>
      <c r="K132" s="51"/>
    </row>
    <row r="133" spans="1:11" ht="15" customHeight="1" thickBot="1" x14ac:dyDescent="0.3">
      <c r="A133" s="27" t="str">
        <f>Дані!A103</f>
        <v>18.3.</v>
      </c>
      <c r="B133" s="133" t="str">
        <f>Дані!B103</f>
        <v xml:space="preserve">          - переміщення ящиків із рослинами в горшках</v>
      </c>
      <c r="C133" s="133"/>
      <c r="D133" s="133"/>
      <c r="E133" s="133"/>
      <c r="F133" s="133"/>
      <c r="G133" s="58" t="str">
        <f t="shared" si="18"/>
        <v>-</v>
      </c>
      <c r="H133" s="61">
        <f>Дані!C103</f>
        <v>0.46133128126202383</v>
      </c>
      <c r="I133" s="50"/>
      <c r="J133" s="51"/>
      <c r="K133" s="51"/>
    </row>
    <row r="134" spans="1:11" ht="39.950000000000003" customHeight="1" x14ac:dyDescent="0.25">
      <c r="A134" s="11" t="str">
        <f>Дані!A104</f>
        <v>19.</v>
      </c>
      <c r="B134" s="134" t="str">
        <f>Дані!B104</f>
        <v>Викопування декоративних саджанців без грудки землі:</v>
      </c>
      <c r="C134" s="120"/>
      <c r="D134" s="120"/>
      <c r="E134" s="120"/>
      <c r="F134" s="120"/>
      <c r="G134" s="73" t="s">
        <v>24</v>
      </c>
      <c r="H134" s="70"/>
      <c r="I134" s="50"/>
      <c r="J134" s="51"/>
      <c r="K134" s="51"/>
    </row>
    <row r="135" spans="1:11" ht="20.100000000000001" customHeight="1" x14ac:dyDescent="0.25">
      <c r="A135" s="24" t="str">
        <f>Дані!A105</f>
        <v>19.1.</v>
      </c>
      <c r="B135" s="132" t="str">
        <f>Дані!B105</f>
        <v>листяних порід висотою:</v>
      </c>
      <c r="C135" s="124"/>
      <c r="D135" s="124"/>
      <c r="E135" s="124"/>
      <c r="F135" s="124"/>
      <c r="G135" s="64"/>
      <c r="H135" s="65"/>
      <c r="I135" s="50"/>
      <c r="J135" s="51"/>
      <c r="K135" s="51"/>
    </row>
    <row r="136" spans="1:11" ht="15" customHeight="1" x14ac:dyDescent="0.25">
      <c r="A136" s="24" t="str">
        <f>Дані!A106</f>
        <v>19.1.1.</v>
      </c>
      <c r="B136" s="129" t="str">
        <f>Дані!B106</f>
        <v xml:space="preserve">          - до 0,5 м</v>
      </c>
      <c r="C136" s="122"/>
      <c r="D136" s="122"/>
      <c r="E136" s="122"/>
      <c r="F136" s="122"/>
      <c r="G136" s="56" t="str">
        <f>IFERROR(ROUND(H136*$G$21,2),"-")</f>
        <v>-</v>
      </c>
      <c r="H136" s="60">
        <f>Дані!C106</f>
        <v>0.23709417648554718</v>
      </c>
      <c r="I136" s="50"/>
      <c r="J136" s="51"/>
      <c r="K136" s="51"/>
    </row>
    <row r="137" spans="1:11" ht="15" customHeight="1" x14ac:dyDescent="0.25">
      <c r="A137" s="24" t="str">
        <f>Дані!A107</f>
        <v>19.1.2.</v>
      </c>
      <c r="B137" s="129" t="str">
        <f>Дані!B107</f>
        <v xml:space="preserve">          - 0,51 -1,0 м</v>
      </c>
      <c r="C137" s="122"/>
      <c r="D137" s="122"/>
      <c r="E137" s="122"/>
      <c r="F137" s="122"/>
      <c r="G137" s="56" t="str">
        <f t="shared" ref="G137:G146" si="19">IFERROR(ROUND(H137*$G$21,2),"-")</f>
        <v>-</v>
      </c>
      <c r="H137" s="60">
        <f>Дані!C107</f>
        <v>0.34729168432652369</v>
      </c>
      <c r="I137" s="50"/>
      <c r="J137" s="51"/>
      <c r="K137" s="51"/>
    </row>
    <row r="138" spans="1:11" ht="15" customHeight="1" x14ac:dyDescent="0.25">
      <c r="A138" s="24" t="str">
        <f>Дані!A108</f>
        <v>19.1.3.</v>
      </c>
      <c r="B138" s="129" t="str">
        <f>Дані!B108</f>
        <v xml:space="preserve">          - 1,01 -1,5 м</v>
      </c>
      <c r="C138" s="122"/>
      <c r="D138" s="122"/>
      <c r="E138" s="122"/>
      <c r="F138" s="122"/>
      <c r="G138" s="56" t="str">
        <f t="shared" si="19"/>
        <v>-</v>
      </c>
      <c r="H138" s="60">
        <f>Дані!C108</f>
        <v>0.54225650589132834</v>
      </c>
      <c r="I138" s="50"/>
      <c r="J138" s="51"/>
      <c r="K138" s="51"/>
    </row>
    <row r="139" spans="1:11" ht="15" customHeight="1" x14ac:dyDescent="0.25">
      <c r="A139" s="24" t="str">
        <f>Дані!A109</f>
        <v>19.1.4.</v>
      </c>
      <c r="B139" s="129" t="str">
        <f>Дані!B109</f>
        <v xml:space="preserve">          - 1,51-2,0 м</v>
      </c>
      <c r="C139" s="122"/>
      <c r="D139" s="122"/>
      <c r="E139" s="122"/>
      <c r="F139" s="122"/>
      <c r="G139" s="56" t="str">
        <f t="shared" si="19"/>
        <v>-</v>
      </c>
      <c r="H139" s="60">
        <f>Дані!C109</f>
        <v>0.80503517843519534</v>
      </c>
      <c r="I139" s="50"/>
      <c r="J139" s="51"/>
      <c r="K139" s="51"/>
    </row>
    <row r="140" spans="1:11" ht="15" customHeight="1" x14ac:dyDescent="0.25">
      <c r="A140" s="24" t="str">
        <f>Дані!A110</f>
        <v>19.1.5.</v>
      </c>
      <c r="B140" s="129" t="str">
        <f>Дані!B110</f>
        <v xml:space="preserve">          - 2,01 м і більше</v>
      </c>
      <c r="C140" s="122"/>
      <c r="D140" s="122"/>
      <c r="E140" s="122"/>
      <c r="F140" s="122"/>
      <c r="G140" s="56" t="str">
        <f t="shared" si="19"/>
        <v>-</v>
      </c>
      <c r="H140" s="60">
        <f>Дані!C110</f>
        <v>1</v>
      </c>
      <c r="I140" s="50"/>
      <c r="J140" s="51"/>
      <c r="K140" s="51"/>
    </row>
    <row r="141" spans="1:11" ht="20.100000000000001" customHeight="1" x14ac:dyDescent="0.25">
      <c r="A141" s="24" t="str">
        <f>Дані!A111</f>
        <v>19.2.</v>
      </c>
      <c r="B141" s="132" t="str">
        <f>Дані!B111</f>
        <v>хвойних порід висотою:</v>
      </c>
      <c r="C141" s="124"/>
      <c r="D141" s="124"/>
      <c r="E141" s="124"/>
      <c r="F141" s="124"/>
      <c r="G141" s="64"/>
      <c r="H141" s="65"/>
      <c r="I141" s="50"/>
      <c r="J141" s="51"/>
      <c r="K141" s="51"/>
    </row>
    <row r="142" spans="1:11" ht="15" customHeight="1" x14ac:dyDescent="0.25">
      <c r="A142" s="24" t="str">
        <f>Дані!A112</f>
        <v>19.2.1.</v>
      </c>
      <c r="B142" s="129" t="str">
        <f>Дані!B112</f>
        <v xml:space="preserve">          - до 0,5 м</v>
      </c>
      <c r="C142" s="122"/>
      <c r="D142" s="122"/>
      <c r="E142" s="122"/>
      <c r="F142" s="122"/>
      <c r="G142" s="56" t="str">
        <f t="shared" si="19"/>
        <v>-</v>
      </c>
      <c r="H142" s="60">
        <f>Дані!C112</f>
        <v>0.15656522844791049</v>
      </c>
      <c r="I142" s="50"/>
      <c r="J142" s="51"/>
      <c r="K142" s="51"/>
    </row>
    <row r="143" spans="1:11" ht="15" customHeight="1" x14ac:dyDescent="0.25">
      <c r="A143" s="24" t="str">
        <f>Дані!A113</f>
        <v>19.2.2.</v>
      </c>
      <c r="B143" s="129" t="str">
        <f>Дані!B113</f>
        <v xml:space="preserve">          - 0,51 -1,0 м</v>
      </c>
      <c r="C143" s="122"/>
      <c r="D143" s="122"/>
      <c r="E143" s="122"/>
      <c r="F143" s="122"/>
      <c r="G143" s="56" t="str">
        <f t="shared" si="19"/>
        <v>-</v>
      </c>
      <c r="H143" s="60">
        <f>Дані!C113</f>
        <v>0.18623378825125031</v>
      </c>
      <c r="I143" s="50"/>
      <c r="J143" s="51"/>
      <c r="K143" s="51"/>
    </row>
    <row r="144" spans="1:11" ht="15" customHeight="1" x14ac:dyDescent="0.25">
      <c r="A144" s="24" t="str">
        <f>Дані!A114</f>
        <v>19.2.3.</v>
      </c>
      <c r="B144" s="129" t="str">
        <f>Дані!B114</f>
        <v xml:space="preserve">          - 1,01 -1,5 м</v>
      </c>
      <c r="C144" s="122"/>
      <c r="D144" s="122"/>
      <c r="E144" s="122"/>
      <c r="F144" s="122"/>
      <c r="G144" s="56" t="str">
        <f t="shared" si="19"/>
        <v>-</v>
      </c>
      <c r="H144" s="60">
        <f>Дані!C114</f>
        <v>0.20742561668220735</v>
      </c>
      <c r="I144" s="50"/>
      <c r="J144" s="51"/>
      <c r="K144" s="51"/>
    </row>
    <row r="145" spans="1:11" ht="15" customHeight="1" x14ac:dyDescent="0.25">
      <c r="A145" s="24" t="str">
        <f>Дані!A115</f>
        <v>19.2.4.</v>
      </c>
      <c r="B145" s="129" t="str">
        <f>Дані!B115</f>
        <v xml:space="preserve">          - 1,51-2,0 м</v>
      </c>
      <c r="C145" s="122"/>
      <c r="D145" s="122"/>
      <c r="E145" s="122"/>
      <c r="F145" s="122"/>
      <c r="G145" s="56" t="str">
        <f t="shared" si="19"/>
        <v>-</v>
      </c>
      <c r="H145" s="60">
        <f>Дані!C115</f>
        <v>0.22861744511316437</v>
      </c>
      <c r="I145" s="50"/>
      <c r="J145" s="51"/>
      <c r="K145" s="51"/>
    </row>
    <row r="146" spans="1:11" ht="15" customHeight="1" thickBot="1" x14ac:dyDescent="0.3">
      <c r="A146" s="33" t="str">
        <f>Дані!A116</f>
        <v>19.2.5.</v>
      </c>
      <c r="B146" s="130" t="str">
        <f>Дані!B116</f>
        <v xml:space="preserve">          - 2,01 м і більше</v>
      </c>
      <c r="C146" s="127"/>
      <c r="D146" s="127"/>
      <c r="E146" s="127"/>
      <c r="F146" s="127"/>
      <c r="G146" s="66" t="str">
        <f t="shared" si="19"/>
        <v>-</v>
      </c>
      <c r="H146" s="67">
        <f>Дані!C116</f>
        <v>0.29643129609222685</v>
      </c>
      <c r="I146" s="50"/>
      <c r="J146" s="51"/>
      <c r="K146" s="51"/>
    </row>
    <row r="147" spans="1:11" ht="39.950000000000003" customHeight="1" x14ac:dyDescent="0.25">
      <c r="A147" s="32" t="str">
        <f>Дані!A117</f>
        <v>20.</v>
      </c>
      <c r="B147" s="131" t="str">
        <f>Дані!B117</f>
        <v>Викопування декоративних саджанців з грудою землі:</v>
      </c>
      <c r="C147" s="131"/>
      <c r="D147" s="131"/>
      <c r="E147" s="131"/>
      <c r="F147" s="131"/>
      <c r="G147" s="115" t="s">
        <v>24</v>
      </c>
      <c r="H147" s="74"/>
      <c r="I147" s="51"/>
      <c r="J147" s="51"/>
      <c r="K147" s="51"/>
    </row>
    <row r="148" spans="1:11" ht="15" customHeight="1" x14ac:dyDescent="0.25">
      <c r="A148" s="24" t="str">
        <f>Дані!A118</f>
        <v>20.1.</v>
      </c>
      <c r="B148" s="124" t="str">
        <f>Дані!B118</f>
        <v>листяних порід висотою:</v>
      </c>
      <c r="C148" s="124"/>
      <c r="D148" s="124"/>
      <c r="E148" s="124"/>
      <c r="F148" s="124"/>
      <c r="G148" s="64"/>
      <c r="H148" s="65"/>
      <c r="I148" s="51"/>
      <c r="J148" s="51"/>
      <c r="K148" s="51"/>
    </row>
    <row r="149" spans="1:11" ht="15" customHeight="1" x14ac:dyDescent="0.25">
      <c r="A149" s="35" t="str">
        <f>Дані!A119</f>
        <v>20.1.1.</v>
      </c>
      <c r="B149" s="122" t="str">
        <f>Дані!B119</f>
        <v xml:space="preserve">          - до 0,5 м</v>
      </c>
      <c r="C149" s="122"/>
      <c r="D149" s="122"/>
      <c r="E149" s="122"/>
      <c r="F149" s="122"/>
      <c r="G149" s="56" t="str">
        <f>IFERROR(ROUND(H149*$G$22,2),"-")</f>
        <v>-</v>
      </c>
      <c r="H149" s="60">
        <f>Дані!C119</f>
        <v>0.67367390549175232</v>
      </c>
      <c r="I149" s="51"/>
      <c r="J149" s="51"/>
      <c r="K149" s="51"/>
    </row>
    <row r="150" spans="1:11" ht="15" customHeight="1" x14ac:dyDescent="0.25">
      <c r="A150" s="24" t="str">
        <f>Дані!A120</f>
        <v>20.1.2.</v>
      </c>
      <c r="B150" s="122" t="str">
        <f>Дані!B120</f>
        <v xml:space="preserve">          - 0,51 -1,0 м</v>
      </c>
      <c r="C150" s="122"/>
      <c r="D150" s="122"/>
      <c r="E150" s="122"/>
      <c r="F150" s="122"/>
      <c r="G150" s="56" t="str">
        <f t="shared" ref="G150:G153" si="20">IFERROR(ROUND(H150*$G$22,2),"-")</f>
        <v>-</v>
      </c>
      <c r="H150" s="60">
        <f>Дані!C120</f>
        <v>0.74736044296135662</v>
      </c>
      <c r="I150" s="51"/>
      <c r="J150" s="51"/>
      <c r="K150" s="51"/>
    </row>
    <row r="151" spans="1:11" ht="15" customHeight="1" x14ac:dyDescent="0.25">
      <c r="A151" s="96" t="str">
        <f>Дані!A121</f>
        <v>20.1.3.</v>
      </c>
      <c r="B151" s="122" t="str">
        <f>Дані!B121</f>
        <v xml:space="preserve">          - 1,01 -1,5 м</v>
      </c>
      <c r="C151" s="122"/>
      <c r="D151" s="122"/>
      <c r="E151" s="122"/>
      <c r="F151" s="122"/>
      <c r="G151" s="56" t="str">
        <f t="shared" si="20"/>
        <v>-</v>
      </c>
      <c r="H151" s="113">
        <f>Дані!C121</f>
        <v>0.91578681432045217</v>
      </c>
      <c r="I151" s="51"/>
      <c r="J151" s="51"/>
      <c r="K151" s="51"/>
    </row>
    <row r="152" spans="1:11" ht="15" customHeight="1" x14ac:dyDescent="0.25">
      <c r="A152" s="96" t="str">
        <f>Дані!A122</f>
        <v>20.1.4.</v>
      </c>
      <c r="B152" s="122" t="str">
        <f>Дані!B122</f>
        <v xml:space="preserve">          - 1,51-2,0 м</v>
      </c>
      <c r="C152" s="122"/>
      <c r="D152" s="122"/>
      <c r="E152" s="122"/>
      <c r="F152" s="122"/>
      <c r="G152" s="56" t="str">
        <f t="shared" si="20"/>
        <v>-</v>
      </c>
      <c r="H152" s="113">
        <f>Дані!C122</f>
        <v>0.91578681432045217</v>
      </c>
      <c r="I152" s="51"/>
      <c r="J152" s="51"/>
      <c r="K152" s="51"/>
    </row>
    <row r="153" spans="1:11" ht="15" customHeight="1" x14ac:dyDescent="0.25">
      <c r="A153" s="96" t="str">
        <f>Дані!A123</f>
        <v>20.1.5.</v>
      </c>
      <c r="B153" s="122" t="str">
        <f>Дані!B123</f>
        <v xml:space="preserve">          - 2,01 м і більше</v>
      </c>
      <c r="C153" s="122"/>
      <c r="D153" s="122"/>
      <c r="E153" s="122"/>
      <c r="F153" s="122"/>
      <c r="G153" s="56" t="str">
        <f t="shared" si="20"/>
        <v>-</v>
      </c>
      <c r="H153" s="113">
        <f>Дані!C123</f>
        <v>1</v>
      </c>
      <c r="I153" s="51"/>
      <c r="J153" s="51"/>
      <c r="K153" s="51"/>
    </row>
    <row r="154" spans="1:11" ht="15" customHeight="1" x14ac:dyDescent="0.25">
      <c r="A154" s="96" t="str">
        <f>Дані!A124</f>
        <v>20.2.</v>
      </c>
      <c r="B154" s="124" t="str">
        <f>Дані!B124</f>
        <v>хвойних порід висотою:</v>
      </c>
      <c r="C154" s="124"/>
      <c r="D154" s="124"/>
      <c r="E154" s="124"/>
      <c r="F154" s="124"/>
      <c r="G154" s="64"/>
      <c r="H154" s="65"/>
      <c r="I154" s="51"/>
      <c r="J154" s="51"/>
      <c r="K154" s="51"/>
    </row>
    <row r="155" spans="1:11" ht="15" customHeight="1" x14ac:dyDescent="0.25">
      <c r="A155" s="96" t="str">
        <f>Дані!A125</f>
        <v>20.2.1.</v>
      </c>
      <c r="B155" s="122" t="str">
        <f>Дані!B125</f>
        <v xml:space="preserve">          - до 0,5 м</v>
      </c>
      <c r="C155" s="122"/>
      <c r="D155" s="122"/>
      <c r="E155" s="122"/>
      <c r="F155" s="122"/>
      <c r="G155" s="99" t="str">
        <f>IFERROR(ROUND(H155*$G$22,2),"-")</f>
        <v>-</v>
      </c>
      <c r="H155" s="113">
        <f>Дані!C125</f>
        <v>0.56840742339231765</v>
      </c>
      <c r="I155" s="51"/>
      <c r="J155" s="51"/>
      <c r="K155" s="51"/>
    </row>
    <row r="156" spans="1:11" ht="15" customHeight="1" x14ac:dyDescent="0.25">
      <c r="A156" s="96" t="str">
        <f>Дані!A126</f>
        <v>20.2.2.</v>
      </c>
      <c r="B156" s="122" t="str">
        <f>Дані!B126</f>
        <v xml:space="preserve">          - 0,51 -1,0 м</v>
      </c>
      <c r="C156" s="122"/>
      <c r="D156" s="122"/>
      <c r="E156" s="122"/>
      <c r="F156" s="122"/>
      <c r="G156" s="99" t="str">
        <f t="shared" ref="G156:G159" si="21">IFERROR(ROUND(H156*$G$22,2),"-")</f>
        <v>-</v>
      </c>
      <c r="H156" s="113">
        <f>Дані!C126</f>
        <v>0.62104066444203498</v>
      </c>
      <c r="I156" s="51"/>
      <c r="J156" s="51"/>
      <c r="K156" s="51"/>
    </row>
    <row r="157" spans="1:11" ht="15" customHeight="1" x14ac:dyDescent="0.25">
      <c r="A157" s="96" t="str">
        <f>Дані!A127</f>
        <v>20.2.3.</v>
      </c>
      <c r="B157" s="122" t="str">
        <f>Дані!B127</f>
        <v xml:space="preserve">          - 1,01 -1,5 м</v>
      </c>
      <c r="C157" s="122"/>
      <c r="D157" s="122"/>
      <c r="E157" s="122"/>
      <c r="F157" s="122"/>
      <c r="G157" s="99" t="str">
        <f t="shared" si="21"/>
        <v>-</v>
      </c>
      <c r="H157" s="113">
        <f>Дані!C127</f>
        <v>0.83157362864090445</v>
      </c>
      <c r="I157" s="51"/>
      <c r="J157" s="51"/>
      <c r="K157" s="51"/>
    </row>
    <row r="158" spans="1:11" ht="15" customHeight="1" x14ac:dyDescent="0.25">
      <c r="A158" s="96" t="str">
        <f>Дані!A128</f>
        <v>20.2.4.</v>
      </c>
      <c r="B158" s="122" t="str">
        <f>Дані!B128</f>
        <v xml:space="preserve">          - 1,51-2,0 м</v>
      </c>
      <c r="C158" s="122"/>
      <c r="D158" s="122"/>
      <c r="E158" s="122"/>
      <c r="F158" s="122"/>
      <c r="G158" s="99" t="str">
        <f t="shared" si="21"/>
        <v>-</v>
      </c>
      <c r="H158" s="113">
        <f>Дані!C128</f>
        <v>0.83157362864090445</v>
      </c>
      <c r="I158" s="51"/>
      <c r="J158" s="51"/>
      <c r="K158" s="51"/>
    </row>
    <row r="159" spans="1:11" ht="15" customHeight="1" thickBot="1" x14ac:dyDescent="0.3">
      <c r="A159" s="97" t="str">
        <f>Дані!A129</f>
        <v>20.2.5.</v>
      </c>
      <c r="B159" s="127" t="str">
        <f>Дані!B129</f>
        <v xml:space="preserve">          - 2,01 м і більше</v>
      </c>
      <c r="C159" s="127"/>
      <c r="D159" s="127"/>
      <c r="E159" s="127"/>
      <c r="F159" s="127"/>
      <c r="G159" s="99" t="str">
        <f t="shared" si="21"/>
        <v>-</v>
      </c>
      <c r="H159" s="102">
        <f>Дані!C129</f>
        <v>0.91578681432045217</v>
      </c>
      <c r="I159" s="51"/>
      <c r="J159" s="51"/>
      <c r="K159" s="51"/>
    </row>
    <row r="160" spans="1:11" ht="39.950000000000003" customHeight="1" x14ac:dyDescent="0.25">
      <c r="A160" s="116" t="str">
        <f>Дані!A130</f>
        <v>21.</v>
      </c>
      <c r="B160" s="128" t="str">
        <f>Дані!B130</f>
        <v>Топіарна стрижка:</v>
      </c>
      <c r="C160" s="128"/>
      <c r="D160" s="128"/>
      <c r="E160" s="128"/>
      <c r="F160" s="128"/>
      <c r="G160" s="108" t="s">
        <v>25</v>
      </c>
      <c r="H160" s="70"/>
      <c r="I160" s="51"/>
      <c r="J160" s="51"/>
      <c r="K160" s="51"/>
    </row>
    <row r="161" spans="1:11" ht="20.100000000000001" customHeight="1" x14ac:dyDescent="0.25">
      <c r="A161" s="36" t="str">
        <f>Дані!A131</f>
        <v>21.1.</v>
      </c>
      <c r="B161" s="121" t="str">
        <f>Дані!B131</f>
        <v>Топіарна стрижка декоративних  дерев та кущів висотою до 1,0 метра:</v>
      </c>
      <c r="C161" s="121"/>
      <c r="D161" s="121"/>
      <c r="E161" s="121"/>
      <c r="F161" s="121"/>
      <c r="G161" s="64"/>
      <c r="H161" s="65"/>
      <c r="I161" s="51"/>
      <c r="J161" s="51"/>
      <c r="K161" s="51"/>
    </row>
    <row r="162" spans="1:11" ht="15" customHeight="1" x14ac:dyDescent="0.25">
      <c r="A162" s="24" t="str">
        <f>Дані!A132</f>
        <v>21.1.1.</v>
      </c>
      <c r="B162" s="122" t="str">
        <f>Дані!B132</f>
        <v xml:space="preserve">          - без придання фігурної форми</v>
      </c>
      <c r="C162" s="122"/>
      <c r="D162" s="122"/>
      <c r="E162" s="122"/>
      <c r="F162" s="122"/>
      <c r="G162" s="56" t="str">
        <f>IFERROR(ROUND(H162*$G$23,2),"-")</f>
        <v>-</v>
      </c>
      <c r="H162" s="60">
        <f>Дані!C132</f>
        <v>0.49849548645937813</v>
      </c>
      <c r="I162" s="51"/>
      <c r="J162" s="51"/>
      <c r="K162" s="51"/>
    </row>
    <row r="163" spans="1:11" ht="15" customHeight="1" x14ac:dyDescent="0.25">
      <c r="A163" s="96" t="str">
        <f>Дані!A133</f>
        <v>21.1.2.</v>
      </c>
      <c r="B163" s="122" t="str">
        <f>Дані!B133</f>
        <v xml:space="preserve">          - з приданням фігурної форми</v>
      </c>
      <c r="C163" s="122"/>
      <c r="D163" s="122"/>
      <c r="E163" s="122"/>
      <c r="F163" s="122"/>
      <c r="G163" s="56" t="str">
        <f>IFERROR(ROUND(H163*$G$23,2),"-")</f>
        <v>-</v>
      </c>
      <c r="H163" s="60">
        <f>Дані!C133</f>
        <v>0.79939819458375128</v>
      </c>
      <c r="I163" s="51"/>
      <c r="J163" s="51"/>
      <c r="K163" s="51"/>
    </row>
    <row r="164" spans="1:11" ht="20.100000000000001" customHeight="1" x14ac:dyDescent="0.25">
      <c r="A164" s="24" t="str">
        <f>Дані!A134</f>
        <v>21.2.</v>
      </c>
      <c r="B164" s="121" t="str">
        <f>Дані!B134</f>
        <v>Топіарна стрижка декоративних дерев та кущів висотою  1,1 метра і більше:</v>
      </c>
      <c r="C164" s="121"/>
      <c r="D164" s="121"/>
      <c r="E164" s="121"/>
      <c r="F164" s="121"/>
      <c r="G164" s="64"/>
      <c r="H164" s="65"/>
      <c r="I164" s="51"/>
      <c r="J164" s="51"/>
      <c r="K164" s="51"/>
    </row>
    <row r="165" spans="1:11" ht="15" customHeight="1" x14ac:dyDescent="0.25">
      <c r="A165" s="24" t="str">
        <f>Дані!A135</f>
        <v>21.2.1.</v>
      </c>
      <c r="B165" s="122" t="str">
        <f>Дані!B135</f>
        <v xml:space="preserve">          - без придання фігурної форми</v>
      </c>
      <c r="C165" s="122"/>
      <c r="D165" s="122"/>
      <c r="E165" s="122"/>
      <c r="F165" s="122"/>
      <c r="G165" s="56" t="str">
        <f>IFERROR(ROUND(H165*$G$23,2),"-")</f>
        <v>-</v>
      </c>
      <c r="H165" s="60">
        <f>Дані!C135</f>
        <v>0.59879638916750255</v>
      </c>
      <c r="I165" s="51"/>
      <c r="J165" s="51"/>
      <c r="K165" s="51"/>
    </row>
    <row r="166" spans="1:11" ht="15" customHeight="1" thickBot="1" x14ac:dyDescent="0.3">
      <c r="A166" s="33" t="str">
        <f>Дані!A136</f>
        <v>21.2.2.</v>
      </c>
      <c r="B166" s="127" t="str">
        <f>Дані!B136</f>
        <v xml:space="preserve">          - з приданням фігурної форми</v>
      </c>
      <c r="C166" s="127"/>
      <c r="D166" s="127"/>
      <c r="E166" s="127"/>
      <c r="F166" s="127"/>
      <c r="G166" s="56" t="str">
        <f>IFERROR(ROUND(H166*$G$23,2),"-")</f>
        <v>-</v>
      </c>
      <c r="H166" s="67">
        <f>Дані!C136</f>
        <v>1</v>
      </c>
      <c r="I166" s="51"/>
      <c r="J166" s="51"/>
      <c r="K166" s="51"/>
    </row>
    <row r="167" spans="1:11" ht="39.950000000000003" customHeight="1" x14ac:dyDescent="0.25">
      <c r="A167" s="11" t="str">
        <f>Дані!A137</f>
        <v>22.</v>
      </c>
      <c r="B167" s="120" t="str">
        <f>Дані!B137</f>
        <v>Приготування земляної (торфяної) суміші для коробів та теплиць:</v>
      </c>
      <c r="C167" s="120"/>
      <c r="D167" s="120"/>
      <c r="E167" s="120"/>
      <c r="F167" s="120"/>
      <c r="G167" s="73" t="s">
        <v>20</v>
      </c>
      <c r="H167" s="70"/>
      <c r="I167" s="50"/>
      <c r="J167" s="51"/>
      <c r="K167" s="51"/>
    </row>
    <row r="168" spans="1:11" ht="15" customHeight="1" x14ac:dyDescent="0.25">
      <c r="A168" s="25" t="str">
        <f>Дані!A138</f>
        <v>22.1.</v>
      </c>
      <c r="B168" s="125" t="str">
        <f>Дані!B138</f>
        <v xml:space="preserve">          - підготовка торфяно-земляної суміші</v>
      </c>
      <c r="C168" s="125"/>
      <c r="D168" s="125"/>
      <c r="E168" s="125"/>
      <c r="F168" s="125"/>
      <c r="G168" s="56" t="str">
        <f>IFERROR(ROUND(H168*$G$24,2),"-")</f>
        <v>-</v>
      </c>
      <c r="H168" s="60">
        <f>Дані!C138</f>
        <v>0.67796610169491522</v>
      </c>
      <c r="I168" s="50"/>
      <c r="J168" s="51"/>
      <c r="K168" s="51"/>
    </row>
    <row r="169" spans="1:11" ht="15" customHeight="1" x14ac:dyDescent="0.25">
      <c r="A169" s="25" t="str">
        <f>Дані!A139</f>
        <v>22.2.</v>
      </c>
      <c r="B169" s="125" t="str">
        <f>Дані!B139</f>
        <v xml:space="preserve">          - піднесення торфяно-земляної суміші   </v>
      </c>
      <c r="C169" s="125"/>
      <c r="D169" s="125"/>
      <c r="E169" s="125"/>
      <c r="F169" s="125"/>
      <c r="G169" s="56" t="str">
        <f t="shared" ref="G169:G171" si="22">IFERROR(ROUND(H169*$G$24,2),"-")</f>
        <v>-</v>
      </c>
      <c r="H169" s="60">
        <f>Дані!C139</f>
        <v>1</v>
      </c>
      <c r="I169" s="50"/>
      <c r="J169" s="51"/>
      <c r="K169" s="51"/>
    </row>
    <row r="170" spans="1:11" ht="15" customHeight="1" x14ac:dyDescent="0.25">
      <c r="A170" s="25" t="str">
        <f>Дані!A140</f>
        <v>22.3.</v>
      </c>
      <c r="B170" s="125" t="str">
        <f>Дані!B140</f>
        <v xml:space="preserve">          - розкидання лопатою торфяно-земляної суміші</v>
      </c>
      <c r="C170" s="125"/>
      <c r="D170" s="125"/>
      <c r="E170" s="125"/>
      <c r="F170" s="125"/>
      <c r="G170" s="56" t="str">
        <f t="shared" si="22"/>
        <v>-</v>
      </c>
      <c r="H170" s="60">
        <f>Дані!C140</f>
        <v>4.4350282485875706E-2</v>
      </c>
      <c r="I170" s="50"/>
      <c r="J170" s="51"/>
      <c r="K170" s="51"/>
    </row>
    <row r="171" spans="1:11" ht="15" customHeight="1" thickBot="1" x14ac:dyDescent="0.3">
      <c r="A171" s="26" t="str">
        <f>Дані!A141</f>
        <v>22.4.</v>
      </c>
      <c r="B171" s="126" t="str">
        <f>Дані!B141</f>
        <v xml:space="preserve">          - викопування землі лопатою із винесенням на віддаль</v>
      </c>
      <c r="C171" s="126"/>
      <c r="D171" s="126"/>
      <c r="E171" s="126"/>
      <c r="F171" s="126"/>
      <c r="G171" s="56" t="str">
        <f t="shared" si="22"/>
        <v>-</v>
      </c>
      <c r="H171" s="67">
        <f>Дані!C141</f>
        <v>0.67796610169491522</v>
      </c>
      <c r="I171" s="50"/>
      <c r="J171" s="51"/>
      <c r="K171" s="51"/>
    </row>
    <row r="172" spans="1:11" ht="39.950000000000003" customHeight="1" x14ac:dyDescent="0.25">
      <c r="A172" s="11" t="str">
        <f>Дані!A142</f>
        <v>23.</v>
      </c>
      <c r="B172" s="120" t="str">
        <f>Дані!B142</f>
        <v xml:space="preserve">Послуги, пов`язані із вирощуванням саджанців із закритою кореневою системою (ЗКС): </v>
      </c>
      <c r="C172" s="120"/>
      <c r="D172" s="120"/>
      <c r="E172" s="120"/>
      <c r="F172" s="120"/>
      <c r="G172" s="108" t="s">
        <v>25</v>
      </c>
      <c r="H172" s="70"/>
      <c r="I172" s="51"/>
      <c r="J172" s="51"/>
      <c r="K172" s="51"/>
    </row>
    <row r="173" spans="1:11" ht="15" customHeight="1" x14ac:dyDescent="0.25">
      <c r="A173" s="24" t="str">
        <f>Дані!A143</f>
        <v>23.1.</v>
      </c>
      <c r="B173" s="125" t="str">
        <f>Дані!B143</f>
        <v xml:space="preserve">          - очищення горщиків та ящиків від земельної суміші</v>
      </c>
      <c r="C173" s="125"/>
      <c r="D173" s="125"/>
      <c r="E173" s="125"/>
      <c r="F173" s="125"/>
      <c r="G173" s="99" t="str">
        <f>IFERROR(ROUND(H173*$G$25,2),"-")</f>
        <v>-</v>
      </c>
      <c r="H173" s="113">
        <f>Дані!C143</f>
        <v>0.92125984251968496</v>
      </c>
      <c r="I173" s="51"/>
      <c r="J173" s="51"/>
      <c r="K173" s="51"/>
    </row>
    <row r="174" spans="1:11" ht="15" customHeight="1" x14ac:dyDescent="0.25">
      <c r="A174" s="24" t="str">
        <f>Дані!A144</f>
        <v>23.2.</v>
      </c>
      <c r="B174" s="125" t="str">
        <f>Дані!B144</f>
        <v xml:space="preserve">          - миття порожніх горшків</v>
      </c>
      <c r="C174" s="125"/>
      <c r="D174" s="125"/>
      <c r="E174" s="125"/>
      <c r="F174" s="125"/>
      <c r="G174" s="99" t="str">
        <f t="shared" ref="G174:G175" si="23">IFERROR(ROUND(H174*$G$25,2),"-")</f>
        <v>-</v>
      </c>
      <c r="H174" s="113">
        <f>Дані!C144</f>
        <v>0.80314960629921262</v>
      </c>
      <c r="I174" s="51"/>
      <c r="J174" s="51"/>
      <c r="K174" s="51"/>
    </row>
    <row r="175" spans="1:11" ht="15" customHeight="1" x14ac:dyDescent="0.25">
      <c r="A175" s="96" t="str">
        <f>Дані!A145</f>
        <v>23.3.</v>
      </c>
      <c r="B175" s="125" t="str">
        <f>Дані!B145</f>
        <v xml:space="preserve">          - наповнення готовою сумішшю горшків </v>
      </c>
      <c r="C175" s="125"/>
      <c r="D175" s="125"/>
      <c r="E175" s="125"/>
      <c r="F175" s="125"/>
      <c r="G175" s="99" t="str">
        <f t="shared" si="23"/>
        <v>-</v>
      </c>
      <c r="H175" s="113">
        <f>Дані!C145</f>
        <v>0.18110236220472442</v>
      </c>
      <c r="I175" s="51"/>
      <c r="J175" s="51"/>
      <c r="K175" s="51"/>
    </row>
    <row r="176" spans="1:11" ht="20.100000000000001" customHeight="1" x14ac:dyDescent="0.25">
      <c r="A176" s="25" t="str">
        <f>Дані!A146</f>
        <v>23.4.</v>
      </c>
      <c r="B176" s="124" t="str">
        <f>Дані!B146</f>
        <v>Установлення на стелажі рослин у розсаднику у горшках діаметром, см:</v>
      </c>
      <c r="C176" s="124"/>
      <c r="D176" s="124"/>
      <c r="E176" s="124"/>
      <c r="F176" s="124"/>
      <c r="G176" s="64"/>
      <c r="H176" s="65"/>
      <c r="I176" s="51"/>
      <c r="J176" s="51"/>
      <c r="K176" s="51"/>
    </row>
    <row r="177" spans="1:11" ht="15" customHeight="1" x14ac:dyDescent="0.25">
      <c r="A177" s="25" t="str">
        <f>Дані!A147</f>
        <v>23.4.1.</v>
      </c>
      <c r="B177" s="122" t="str">
        <f>Дані!B147</f>
        <v xml:space="preserve">          -  до 25 см</v>
      </c>
      <c r="C177" s="122"/>
      <c r="D177" s="122"/>
      <c r="E177" s="122"/>
      <c r="F177" s="122"/>
      <c r="G177" s="99" t="str">
        <f t="shared" ref="G177:G178" si="24">IFERROR(ROUND(H177*$G$25,2),"-")</f>
        <v>-</v>
      </c>
      <c r="H177" s="113">
        <f>Дані!C147</f>
        <v>0.64566929133858264</v>
      </c>
      <c r="I177" s="51"/>
      <c r="J177" s="51"/>
      <c r="K177" s="51"/>
    </row>
    <row r="178" spans="1:11" ht="15" customHeight="1" x14ac:dyDescent="0.25">
      <c r="A178" s="25" t="str">
        <f>Дані!A148</f>
        <v>23.4.2.</v>
      </c>
      <c r="B178" s="122" t="str">
        <f>Дані!B148</f>
        <v xml:space="preserve">          - більше 25 см</v>
      </c>
      <c r="C178" s="122"/>
      <c r="D178" s="122"/>
      <c r="E178" s="122"/>
      <c r="F178" s="122"/>
      <c r="G178" s="99" t="str">
        <f t="shared" si="24"/>
        <v>-</v>
      </c>
      <c r="H178" s="113">
        <f>Дані!C148</f>
        <v>0.80314960629921262</v>
      </c>
      <c r="I178" s="51"/>
      <c r="J178" s="51"/>
      <c r="K178" s="51"/>
    </row>
    <row r="179" spans="1:11" ht="20.100000000000001" customHeight="1" x14ac:dyDescent="0.25">
      <c r="A179" s="25" t="str">
        <f>Дані!A149</f>
        <v>23.5.</v>
      </c>
      <c r="B179" s="124" t="str">
        <f>Дані!B149</f>
        <v>Установлення  в грунт  рослин  у горшках діаметром, см:</v>
      </c>
      <c r="C179" s="124"/>
      <c r="D179" s="124"/>
      <c r="E179" s="124"/>
      <c r="F179" s="124"/>
      <c r="G179" s="64"/>
      <c r="H179" s="65"/>
      <c r="I179" s="51"/>
      <c r="J179" s="51"/>
      <c r="K179" s="51"/>
    </row>
    <row r="180" spans="1:11" ht="15" customHeight="1" x14ac:dyDescent="0.25">
      <c r="A180" s="25" t="str">
        <f>Дані!A150</f>
        <v>23.5.1.</v>
      </c>
      <c r="B180" s="122" t="str">
        <f>Дані!B150</f>
        <v xml:space="preserve">          -  до 25 см</v>
      </c>
      <c r="C180" s="122"/>
      <c r="D180" s="122"/>
      <c r="E180" s="122"/>
      <c r="F180" s="122"/>
      <c r="G180" s="99" t="str">
        <f t="shared" ref="G180:G183" si="25">IFERROR(ROUND(H180*$G$25,2),"-")</f>
        <v>-</v>
      </c>
      <c r="H180" s="113">
        <f>Дані!C150</f>
        <v>0.66929133858267709</v>
      </c>
      <c r="I180" s="51"/>
      <c r="J180" s="51"/>
      <c r="K180" s="51"/>
    </row>
    <row r="181" spans="1:11" ht="15" customHeight="1" x14ac:dyDescent="0.25">
      <c r="A181" s="25" t="str">
        <f>Дані!A151</f>
        <v>23.5.2.</v>
      </c>
      <c r="B181" s="122" t="str">
        <f>Дані!B151</f>
        <v xml:space="preserve">          - більше 25 см</v>
      </c>
      <c r="C181" s="122"/>
      <c r="D181" s="122"/>
      <c r="E181" s="122"/>
      <c r="F181" s="122"/>
      <c r="G181" s="99" t="str">
        <f t="shared" si="25"/>
        <v>-</v>
      </c>
      <c r="H181" s="113">
        <f>Дані!C151</f>
        <v>1</v>
      </c>
      <c r="I181" s="51"/>
      <c r="J181" s="51"/>
      <c r="K181" s="51"/>
    </row>
    <row r="182" spans="1:11" ht="15" customHeight="1" x14ac:dyDescent="0.25">
      <c r="A182" s="25" t="str">
        <f>Дані!A152</f>
        <v>23.6.</v>
      </c>
      <c r="B182" s="125" t="str">
        <f>Дані!B152</f>
        <v xml:space="preserve">          - установлення етикеток у ящики та горщики декоративних рослин</v>
      </c>
      <c r="C182" s="125"/>
      <c r="D182" s="125"/>
      <c r="E182" s="125"/>
      <c r="F182" s="125"/>
      <c r="G182" s="99" t="str">
        <f t="shared" si="25"/>
        <v>-</v>
      </c>
      <c r="H182" s="113">
        <f>Дані!C152</f>
        <v>0.39370078740157477</v>
      </c>
      <c r="I182" s="51"/>
      <c r="J182" s="51"/>
      <c r="K182" s="51"/>
    </row>
    <row r="183" spans="1:11" ht="15" customHeight="1" thickBot="1" x14ac:dyDescent="0.3">
      <c r="A183" s="26" t="str">
        <f>Дані!A153</f>
        <v>23.7.</v>
      </c>
      <c r="B183" s="126" t="str">
        <f>Дані!B153</f>
        <v xml:space="preserve">          - догляд за рослинами в горщиках (видалення бур`янів, сухого листя, гілля, квітів тощо)</v>
      </c>
      <c r="C183" s="126"/>
      <c r="D183" s="126"/>
      <c r="E183" s="126"/>
      <c r="F183" s="126"/>
      <c r="G183" s="101" t="str">
        <f t="shared" si="25"/>
        <v>-</v>
      </c>
      <c r="H183" s="102">
        <f>Дані!C153</f>
        <v>0.85039370078740162</v>
      </c>
      <c r="I183" s="51"/>
      <c r="J183" s="51"/>
      <c r="K183" s="51"/>
    </row>
    <row r="184" spans="1:11" ht="39.950000000000003" customHeight="1" x14ac:dyDescent="0.25">
      <c r="A184" s="11" t="str">
        <f>Дані!A154</f>
        <v>24.</v>
      </c>
      <c r="B184" s="120" t="str">
        <f>Дані!B154</f>
        <v>Садіння рослин у горщики:</v>
      </c>
      <c r="C184" s="120"/>
      <c r="D184" s="120"/>
      <c r="E184" s="120"/>
      <c r="F184" s="120"/>
      <c r="G184" s="108" t="s">
        <v>25</v>
      </c>
      <c r="H184" s="70"/>
      <c r="I184" s="51"/>
      <c r="J184" s="51"/>
      <c r="K184" s="51"/>
    </row>
    <row r="185" spans="1:11" ht="20.100000000000001" customHeight="1" x14ac:dyDescent="0.25">
      <c r="A185" s="24" t="str">
        <f>Дані!A155</f>
        <v>24.1.</v>
      </c>
      <c r="B185" s="121" t="str">
        <f>Дані!B155</f>
        <v>Садіння рослин у горшки діаметром , см:</v>
      </c>
      <c r="C185" s="121"/>
      <c r="D185" s="121"/>
      <c r="E185" s="121"/>
      <c r="F185" s="121"/>
      <c r="G185" s="64"/>
      <c r="H185" s="65"/>
      <c r="I185" s="51"/>
      <c r="J185" s="51"/>
      <c r="K185" s="51"/>
    </row>
    <row r="186" spans="1:11" ht="15" customHeight="1" x14ac:dyDescent="0.25">
      <c r="A186" s="96" t="str">
        <f>Дані!A156</f>
        <v>24.1.1.</v>
      </c>
      <c r="B186" s="122" t="str">
        <f>Дані!B156</f>
        <v xml:space="preserve">          - 7-10</v>
      </c>
      <c r="C186" s="122"/>
      <c r="D186" s="122"/>
      <c r="E186" s="122"/>
      <c r="F186" s="122"/>
      <c r="G186" s="99" t="str">
        <f>IFERROR(ROUND(H186*$G$26,2),"-")</f>
        <v>-</v>
      </c>
      <c r="H186" s="113">
        <f>Дані!C156</f>
        <v>0.21459854014598542</v>
      </c>
      <c r="I186" s="51"/>
      <c r="J186" s="51"/>
      <c r="K186" s="51"/>
    </row>
    <row r="187" spans="1:11" ht="15" customHeight="1" x14ac:dyDescent="0.25">
      <c r="A187" s="96" t="str">
        <f>Дані!A157</f>
        <v>24.1.2.</v>
      </c>
      <c r="B187" s="122" t="str">
        <f>Дані!B157</f>
        <v xml:space="preserve">          - 11-14</v>
      </c>
      <c r="C187" s="122"/>
      <c r="D187" s="122"/>
      <c r="E187" s="122"/>
      <c r="F187" s="122"/>
      <c r="G187" s="99" t="str">
        <f t="shared" ref="G187:G191" si="26">IFERROR(ROUND(H187*$G$26,2),"-")</f>
        <v>-</v>
      </c>
      <c r="H187" s="113">
        <f>Дані!C157</f>
        <v>0.27007299270072993</v>
      </c>
      <c r="I187" s="51"/>
      <c r="J187" s="51"/>
      <c r="K187" s="51"/>
    </row>
    <row r="188" spans="1:11" ht="15" customHeight="1" x14ac:dyDescent="0.25">
      <c r="A188" s="96" t="str">
        <f>Дані!A158</f>
        <v>24.1.3.</v>
      </c>
      <c r="B188" s="123" t="str">
        <f>Дані!B158</f>
        <v xml:space="preserve">          - 15-17</v>
      </c>
      <c r="C188" s="123"/>
      <c r="D188" s="123"/>
      <c r="E188" s="123"/>
      <c r="F188" s="123"/>
      <c r="G188" s="99" t="str">
        <f t="shared" si="26"/>
        <v>-</v>
      </c>
      <c r="H188" s="113">
        <f>Дані!C158</f>
        <v>0.41605839416058399</v>
      </c>
      <c r="I188" s="51"/>
      <c r="J188" s="51"/>
      <c r="K188" s="51"/>
    </row>
    <row r="189" spans="1:11" ht="15" customHeight="1" x14ac:dyDescent="0.25">
      <c r="A189" s="96" t="str">
        <f>Дані!A159</f>
        <v>24.1.4.</v>
      </c>
      <c r="B189" s="122" t="str">
        <f>Дані!B159</f>
        <v xml:space="preserve">          - 18-22</v>
      </c>
      <c r="C189" s="122"/>
      <c r="D189" s="122"/>
      <c r="E189" s="122"/>
      <c r="F189" s="122"/>
      <c r="G189" s="99" t="str">
        <f t="shared" si="26"/>
        <v>-</v>
      </c>
      <c r="H189" s="113">
        <f>Дані!C159</f>
        <v>0.56204379562043805</v>
      </c>
      <c r="I189" s="51"/>
      <c r="J189" s="51"/>
      <c r="K189" s="51"/>
    </row>
    <row r="190" spans="1:11" ht="15" customHeight="1" x14ac:dyDescent="0.25">
      <c r="A190" s="96" t="str">
        <f>Дані!A160</f>
        <v>24.1.5.</v>
      </c>
      <c r="B190" s="122" t="str">
        <f>Дані!B160</f>
        <v xml:space="preserve">          - 23-25</v>
      </c>
      <c r="C190" s="122"/>
      <c r="D190" s="122"/>
      <c r="E190" s="122"/>
      <c r="F190" s="122"/>
      <c r="G190" s="99" t="str">
        <f t="shared" si="26"/>
        <v>-</v>
      </c>
      <c r="H190" s="113">
        <f>Дані!C160</f>
        <v>0.70802919708029199</v>
      </c>
      <c r="I190" s="51"/>
      <c r="J190" s="51"/>
      <c r="K190" s="51"/>
    </row>
    <row r="191" spans="1:11" ht="15" customHeight="1" x14ac:dyDescent="0.25">
      <c r="A191" s="96" t="str">
        <f>Дані!A161</f>
        <v>24.1.6.</v>
      </c>
      <c r="B191" s="122" t="str">
        <f>Дані!B161</f>
        <v xml:space="preserve">          - більше 25 см</v>
      </c>
      <c r="C191" s="122"/>
      <c r="D191" s="122"/>
      <c r="E191" s="122"/>
      <c r="F191" s="122"/>
      <c r="G191" s="99" t="str">
        <f t="shared" si="26"/>
        <v>-</v>
      </c>
      <c r="H191" s="113">
        <f>Дані!C161</f>
        <v>0.85401459854014594</v>
      </c>
      <c r="I191" s="51"/>
      <c r="J191" s="51"/>
      <c r="K191" s="51"/>
    </row>
    <row r="192" spans="1:11" s="23" customFormat="1" ht="20.100000000000001" customHeight="1" x14ac:dyDescent="0.25">
      <c r="A192" s="117" t="str">
        <f>Дані!A162</f>
        <v>24.2.</v>
      </c>
      <c r="B192" s="121" t="str">
        <f>Дані!B162</f>
        <v>Пересаджування рослин у горшки з більшим діаметром , см:</v>
      </c>
      <c r="C192" s="121"/>
      <c r="D192" s="121"/>
      <c r="E192" s="121"/>
      <c r="F192" s="121"/>
      <c r="G192" s="64"/>
      <c r="H192" s="65"/>
      <c r="I192" s="55"/>
      <c r="J192" s="55"/>
      <c r="K192" s="55"/>
    </row>
    <row r="193" spans="1:11" ht="15" customHeight="1" x14ac:dyDescent="0.25">
      <c r="A193" s="96" t="str">
        <f>Дані!A163</f>
        <v>24.2.1.</v>
      </c>
      <c r="B193" s="122" t="str">
        <f>Дані!B163</f>
        <v xml:space="preserve">          - 12-15</v>
      </c>
      <c r="C193" s="122"/>
      <c r="D193" s="122"/>
      <c r="E193" s="122"/>
      <c r="F193" s="122"/>
      <c r="G193" s="99" t="str">
        <f t="shared" ref="G193:G197" si="27">IFERROR(ROUND(H193*$G$26,2),"-")</f>
        <v>-</v>
      </c>
      <c r="H193" s="113">
        <f>Дані!C163</f>
        <v>0.27007299270072993</v>
      </c>
      <c r="I193" s="51"/>
      <c r="J193" s="51"/>
      <c r="K193" s="51"/>
    </row>
    <row r="194" spans="1:11" ht="15" customHeight="1" x14ac:dyDescent="0.25">
      <c r="A194" s="96" t="str">
        <f>Дані!A164</f>
        <v>24.2.2.</v>
      </c>
      <c r="B194" s="122" t="str">
        <f>Дані!B164</f>
        <v xml:space="preserve">          - 16-18</v>
      </c>
      <c r="C194" s="122"/>
      <c r="D194" s="122"/>
      <c r="E194" s="122"/>
      <c r="F194" s="122"/>
      <c r="G194" s="99" t="str">
        <f t="shared" si="27"/>
        <v>-</v>
      </c>
      <c r="H194" s="113">
        <f>Дані!C164</f>
        <v>0.41605839416058399</v>
      </c>
      <c r="I194" s="51"/>
      <c r="J194" s="51"/>
      <c r="K194" s="51"/>
    </row>
    <row r="195" spans="1:11" ht="15" customHeight="1" x14ac:dyDescent="0.25">
      <c r="A195" s="96" t="str">
        <f>Дані!A165</f>
        <v>24.2.3.</v>
      </c>
      <c r="B195" s="122" t="str">
        <f>Дані!B165</f>
        <v xml:space="preserve">          - 19-21</v>
      </c>
      <c r="C195" s="122"/>
      <c r="D195" s="122"/>
      <c r="E195" s="122"/>
      <c r="F195" s="122"/>
      <c r="G195" s="99" t="str">
        <f t="shared" si="27"/>
        <v>-</v>
      </c>
      <c r="H195" s="113">
        <f>Дані!C165</f>
        <v>0.56204379562043805</v>
      </c>
      <c r="I195" s="51"/>
      <c r="J195" s="51"/>
      <c r="K195" s="51"/>
    </row>
    <row r="196" spans="1:11" ht="15" customHeight="1" x14ac:dyDescent="0.25">
      <c r="A196" s="96" t="str">
        <f>Дані!A166</f>
        <v>24.2.4.</v>
      </c>
      <c r="B196" s="122" t="str">
        <f>Дані!B166</f>
        <v xml:space="preserve">          - 22-25</v>
      </c>
      <c r="C196" s="122"/>
      <c r="D196" s="122"/>
      <c r="E196" s="122"/>
      <c r="F196" s="122"/>
      <c r="G196" s="99" t="str">
        <f t="shared" si="27"/>
        <v>-</v>
      </c>
      <c r="H196" s="113">
        <f>Дані!C166</f>
        <v>0.70802919708029199</v>
      </c>
      <c r="I196" s="51"/>
      <c r="J196" s="51"/>
      <c r="K196" s="51"/>
    </row>
    <row r="197" spans="1:11" ht="15" customHeight="1" thickBot="1" x14ac:dyDescent="0.3">
      <c r="A197" s="97" t="str">
        <f>Дані!A167</f>
        <v>24.2.5.</v>
      </c>
      <c r="B197" s="127" t="str">
        <f>Дані!B167</f>
        <v xml:space="preserve">          - більше 25 см</v>
      </c>
      <c r="C197" s="127"/>
      <c r="D197" s="127"/>
      <c r="E197" s="127"/>
      <c r="F197" s="127"/>
      <c r="G197" s="101" t="str">
        <f t="shared" si="27"/>
        <v>-</v>
      </c>
      <c r="H197" s="102">
        <f>Дані!C167</f>
        <v>1</v>
      </c>
      <c r="I197" s="51"/>
      <c r="J197" s="51"/>
      <c r="K197" s="51"/>
    </row>
    <row r="198" spans="1:11" ht="39.950000000000003" customHeight="1" x14ac:dyDescent="0.25">
      <c r="A198" s="11" t="str">
        <f>Дані!A168</f>
        <v>25.</v>
      </c>
      <c r="B198" s="120" t="str">
        <f>Дані!B168</f>
        <v>Сівба насіння квіткових культур в ящики:</v>
      </c>
      <c r="C198" s="120"/>
      <c r="D198" s="120"/>
      <c r="E198" s="120"/>
      <c r="F198" s="120"/>
      <c r="G198" s="108" t="s">
        <v>25</v>
      </c>
      <c r="H198" s="70"/>
    </row>
    <row r="199" spans="1:11" ht="15.75" thickBot="1" x14ac:dyDescent="0.3">
      <c r="A199" s="33" t="str">
        <f>Дані!A169</f>
        <v>25.1.</v>
      </c>
      <c r="B199" s="126" t="str">
        <f>Дані!B169</f>
        <v xml:space="preserve">          - сівба насіння квіткових культур в ящики із заправкою ящиків землею</v>
      </c>
      <c r="C199" s="126"/>
      <c r="D199" s="126"/>
      <c r="E199" s="126"/>
      <c r="F199" s="126"/>
      <c r="G199" s="66" t="str">
        <f>IFERROR(ROUND(H199*$G$27,2),"-")</f>
        <v>-</v>
      </c>
      <c r="H199" s="67">
        <f>Дані!C169</f>
        <v>1</v>
      </c>
    </row>
    <row r="200" spans="1:11" ht="39.950000000000003" customHeight="1" x14ac:dyDescent="0.25">
      <c r="A200" s="11" t="str">
        <f>Дані!A170</f>
        <v>26.</v>
      </c>
      <c r="B200" s="120" t="str">
        <f>Дані!B170</f>
        <v>Господарські послуги:</v>
      </c>
      <c r="C200" s="120"/>
      <c r="D200" s="120"/>
      <c r="E200" s="120"/>
      <c r="F200" s="120"/>
      <c r="G200" s="108" t="s">
        <v>27</v>
      </c>
      <c r="H200" s="70"/>
    </row>
    <row r="201" spans="1:11" ht="15.75" thickBot="1" x14ac:dyDescent="0.3">
      <c r="A201" s="97" t="str">
        <f>Дані!A171</f>
        <v>26.1.</v>
      </c>
      <c r="B201" s="126" t="str">
        <f>Дані!B171</f>
        <v xml:space="preserve">          - господарські роботи (прибирання та догляд за територією розсадника, фарбування поверхонь, підготовка, встановлення та ремонт системи поливу та інші господарські роботи)</v>
      </c>
      <c r="C201" s="126"/>
      <c r="D201" s="126"/>
      <c r="E201" s="126"/>
      <c r="F201" s="126"/>
      <c r="G201" s="66" t="str">
        <f>IFERROR(ROUND(H201*$G$28,2),"-")</f>
        <v>-</v>
      </c>
      <c r="H201" s="67">
        <f>Дані!C171</f>
        <v>1</v>
      </c>
    </row>
    <row r="202" spans="1:11" ht="39.950000000000003" customHeight="1" x14ac:dyDescent="0.25">
      <c r="A202" s="11" t="str">
        <f>Дані!A172</f>
        <v>27.</v>
      </c>
      <c r="B202" s="120" t="str">
        <f>Дані!B172</f>
        <v>Виготовлення дерев'яних ящиків для перевезення посадкового матеріалу:</v>
      </c>
      <c r="C202" s="120"/>
      <c r="D202" s="120"/>
      <c r="E202" s="120"/>
      <c r="F202" s="120"/>
      <c r="G202" s="108" t="s">
        <v>26</v>
      </c>
      <c r="H202" s="70"/>
    </row>
    <row r="203" spans="1:11" ht="15.75" thickBot="1" x14ac:dyDescent="0.3">
      <c r="A203" s="97" t="str">
        <f>Дані!A173</f>
        <v>27.1.</v>
      </c>
      <c r="B203" s="126" t="str">
        <f>Дані!B173</f>
        <v xml:space="preserve">          - виготовлення дерев'яних ящиків для перевезення посадкового матеріалу</v>
      </c>
      <c r="C203" s="126"/>
      <c r="D203" s="126"/>
      <c r="E203" s="126"/>
      <c r="F203" s="126"/>
      <c r="G203" s="66" t="str">
        <f>IFERROR(ROUND(H203*$G$29,2),"-")</f>
        <v>-</v>
      </c>
      <c r="H203" s="67">
        <f>Дані!C173</f>
        <v>1</v>
      </c>
    </row>
    <row r="204" spans="1:11" ht="39.950000000000003" customHeight="1" x14ac:dyDescent="0.25">
      <c r="A204" s="11" t="str">
        <f>Дані!A174</f>
        <v>28.</v>
      </c>
      <c r="B204" s="120" t="str">
        <f>Дані!B174</f>
        <v>Формування крон у новорічних дерев:</v>
      </c>
      <c r="C204" s="120"/>
      <c r="D204" s="120"/>
      <c r="E204" s="120"/>
      <c r="F204" s="120"/>
      <c r="G204" s="108" t="s">
        <v>25</v>
      </c>
      <c r="H204" s="70"/>
    </row>
    <row r="205" spans="1:11" x14ac:dyDescent="0.25">
      <c r="A205" s="24" t="str">
        <f>Дані!A175</f>
        <v>28.1.</v>
      </c>
      <c r="B205" s="125" t="str">
        <f>Дані!B175</f>
        <v xml:space="preserve">          - 1 рік стрижки</v>
      </c>
      <c r="C205" s="125"/>
      <c r="D205" s="125"/>
      <c r="E205" s="125"/>
      <c r="F205" s="125"/>
      <c r="G205" s="56" t="str">
        <f>IFERROR(ROUND(H205*$G$30,2),"-")</f>
        <v>-</v>
      </c>
      <c r="H205" s="60">
        <f>Дані!C175</f>
        <v>0.829059829059829</v>
      </c>
    </row>
    <row r="206" spans="1:11" ht="15.75" thickBot="1" x14ac:dyDescent="0.3">
      <c r="A206" s="33" t="str">
        <f>Дані!A176</f>
        <v>28.2.</v>
      </c>
      <c r="B206" s="126" t="str">
        <f>Дані!B176</f>
        <v xml:space="preserve">          - 2 рік стрижки</v>
      </c>
      <c r="C206" s="126"/>
      <c r="D206" s="126"/>
      <c r="E206" s="126"/>
      <c r="F206" s="126"/>
      <c r="G206" s="66" t="str">
        <f>IFERROR(ROUND(H206*$G$30,2),"-")</f>
        <v>-</v>
      </c>
      <c r="H206" s="67">
        <f>Дані!C176</f>
        <v>1</v>
      </c>
    </row>
  </sheetData>
  <sheetProtection password="D309" sheet="1" objects="1" scenarios="1"/>
  <mergeCells count="180">
    <mergeCell ref="B198:F198"/>
    <mergeCell ref="B199:F199"/>
    <mergeCell ref="B200:F200"/>
    <mergeCell ref="B201:F201"/>
    <mergeCell ref="B202:F202"/>
    <mergeCell ref="B203:F203"/>
    <mergeCell ref="B204:F204"/>
    <mergeCell ref="B205:F205"/>
    <mergeCell ref="B206:F206"/>
    <mergeCell ref="B41:F41"/>
    <mergeCell ref="B42:F42"/>
    <mergeCell ref="A1:K1"/>
    <mergeCell ref="B36:F36"/>
    <mergeCell ref="B37:F37"/>
    <mergeCell ref="B38:F38"/>
    <mergeCell ref="B39:F39"/>
    <mergeCell ref="B40:F40"/>
    <mergeCell ref="B32:F32"/>
    <mergeCell ref="B33:F33"/>
    <mergeCell ref="B34:F34"/>
    <mergeCell ref="B35:F35"/>
    <mergeCell ref="A31:H31"/>
    <mergeCell ref="C3:C30"/>
    <mergeCell ref="J3:J30"/>
    <mergeCell ref="K3:K30"/>
    <mergeCell ref="B61:F61"/>
    <mergeCell ref="B62:F62"/>
    <mergeCell ref="B63:F63"/>
    <mergeCell ref="B64:F64"/>
    <mergeCell ref="B65:F65"/>
    <mergeCell ref="B43:F43"/>
    <mergeCell ref="B44:F44"/>
    <mergeCell ref="B45:F45"/>
    <mergeCell ref="B56:F56"/>
    <mergeCell ref="B57:F57"/>
    <mergeCell ref="B58:F58"/>
    <mergeCell ref="B59:F59"/>
    <mergeCell ref="B60:F60"/>
    <mergeCell ref="B51:F51"/>
    <mergeCell ref="B52:F52"/>
    <mergeCell ref="B53:F53"/>
    <mergeCell ref="B54:F54"/>
    <mergeCell ref="B55:F55"/>
    <mergeCell ref="B46:F46"/>
    <mergeCell ref="B47:F47"/>
    <mergeCell ref="B48:F48"/>
    <mergeCell ref="B49:F49"/>
    <mergeCell ref="B50:F50"/>
    <mergeCell ref="B71:F71"/>
    <mergeCell ref="B72:F72"/>
    <mergeCell ref="B73:F73"/>
    <mergeCell ref="B74:F74"/>
    <mergeCell ref="B75:F75"/>
    <mergeCell ref="B66:F66"/>
    <mergeCell ref="B67:F67"/>
    <mergeCell ref="B68:F68"/>
    <mergeCell ref="B69:F69"/>
    <mergeCell ref="B70:F70"/>
    <mergeCell ref="B81:F81"/>
    <mergeCell ref="B82:F82"/>
    <mergeCell ref="B83:F83"/>
    <mergeCell ref="B84:F84"/>
    <mergeCell ref="B85:F85"/>
    <mergeCell ref="B76:F76"/>
    <mergeCell ref="B77:F77"/>
    <mergeCell ref="B78:F78"/>
    <mergeCell ref="B79:F79"/>
    <mergeCell ref="B80:F80"/>
    <mergeCell ref="B91:F91"/>
    <mergeCell ref="B92:F92"/>
    <mergeCell ref="B93:F93"/>
    <mergeCell ref="B94:F94"/>
    <mergeCell ref="B95:F95"/>
    <mergeCell ref="B86:F86"/>
    <mergeCell ref="B87:F87"/>
    <mergeCell ref="B88:F88"/>
    <mergeCell ref="B89:F89"/>
    <mergeCell ref="B90:F90"/>
    <mergeCell ref="B101:F101"/>
    <mergeCell ref="B102:F102"/>
    <mergeCell ref="B103:F103"/>
    <mergeCell ref="B104:F104"/>
    <mergeCell ref="B105:F105"/>
    <mergeCell ref="B96:F96"/>
    <mergeCell ref="B97:F97"/>
    <mergeCell ref="B98:F98"/>
    <mergeCell ref="B99:F99"/>
    <mergeCell ref="B100:F100"/>
    <mergeCell ref="B111:F111"/>
    <mergeCell ref="B112:F112"/>
    <mergeCell ref="B113:F113"/>
    <mergeCell ref="B114:F114"/>
    <mergeCell ref="B115:F115"/>
    <mergeCell ref="B106:F106"/>
    <mergeCell ref="B107:F107"/>
    <mergeCell ref="B108:F108"/>
    <mergeCell ref="B109:F109"/>
    <mergeCell ref="B110:F110"/>
    <mergeCell ref="B121:F121"/>
    <mergeCell ref="B122:F122"/>
    <mergeCell ref="B123:F123"/>
    <mergeCell ref="B124:F124"/>
    <mergeCell ref="B125:F125"/>
    <mergeCell ref="B116:F116"/>
    <mergeCell ref="B117:F117"/>
    <mergeCell ref="B118:F118"/>
    <mergeCell ref="B119:F119"/>
    <mergeCell ref="B120:F120"/>
    <mergeCell ref="B131:F131"/>
    <mergeCell ref="B132:F132"/>
    <mergeCell ref="B133:F133"/>
    <mergeCell ref="B134:F134"/>
    <mergeCell ref="B126:F126"/>
    <mergeCell ref="B127:F127"/>
    <mergeCell ref="B128:F128"/>
    <mergeCell ref="B129:F129"/>
    <mergeCell ref="B130:F130"/>
    <mergeCell ref="B140:F140"/>
    <mergeCell ref="B141:F141"/>
    <mergeCell ref="B142:F142"/>
    <mergeCell ref="B143:F143"/>
    <mergeCell ref="B144:F144"/>
    <mergeCell ref="B135:F135"/>
    <mergeCell ref="B136:F136"/>
    <mergeCell ref="B137:F137"/>
    <mergeCell ref="B138:F138"/>
    <mergeCell ref="B139:F139"/>
    <mergeCell ref="B149:F149"/>
    <mergeCell ref="B150:F150"/>
    <mergeCell ref="B151:F151"/>
    <mergeCell ref="B152:F152"/>
    <mergeCell ref="B153:F153"/>
    <mergeCell ref="B145:F145"/>
    <mergeCell ref="B146:F146"/>
    <mergeCell ref="B147:F147"/>
    <mergeCell ref="B148:F148"/>
    <mergeCell ref="B159:F159"/>
    <mergeCell ref="B160:F160"/>
    <mergeCell ref="B161:F161"/>
    <mergeCell ref="B162:F162"/>
    <mergeCell ref="B163:F163"/>
    <mergeCell ref="B154:F154"/>
    <mergeCell ref="B155:F155"/>
    <mergeCell ref="B156:F156"/>
    <mergeCell ref="B157:F157"/>
    <mergeCell ref="B158:F158"/>
    <mergeCell ref="B178:F178"/>
    <mergeCell ref="B169:F169"/>
    <mergeCell ref="B170:F170"/>
    <mergeCell ref="B171:F171"/>
    <mergeCell ref="B172:F172"/>
    <mergeCell ref="B173:F173"/>
    <mergeCell ref="B164:F164"/>
    <mergeCell ref="B165:F165"/>
    <mergeCell ref="B166:F166"/>
    <mergeCell ref="B167:F167"/>
    <mergeCell ref="B168:F168"/>
    <mergeCell ref="B174:F174"/>
    <mergeCell ref="B175:F175"/>
    <mergeCell ref="B176:F176"/>
    <mergeCell ref="B177:F177"/>
    <mergeCell ref="B194:F194"/>
    <mergeCell ref="B195:F195"/>
    <mergeCell ref="B196:F196"/>
    <mergeCell ref="B197:F197"/>
    <mergeCell ref="B189:F189"/>
    <mergeCell ref="B190:F190"/>
    <mergeCell ref="B191:F191"/>
    <mergeCell ref="B192:F192"/>
    <mergeCell ref="B193:F193"/>
    <mergeCell ref="B184:F184"/>
    <mergeCell ref="B185:F185"/>
    <mergeCell ref="B186:F186"/>
    <mergeCell ref="B187:F187"/>
    <mergeCell ref="B188:F188"/>
    <mergeCell ref="B179:F179"/>
    <mergeCell ref="B180:F180"/>
    <mergeCell ref="B181:F181"/>
    <mergeCell ref="B182:F182"/>
    <mergeCell ref="B183:F183"/>
  </mergeCells>
  <conditionalFormatting sqref="E3:E30">
    <cfRule type="expression" dxfId="32" priority="137">
      <formula>"D4=так"</formula>
    </cfRule>
  </conditionalFormatting>
  <conditionalFormatting sqref="G34:G37 G39:G40 G135:G146">
    <cfRule type="expression" dxfId="31" priority="112">
      <formula>$K$3&gt;$J$3</formula>
    </cfRule>
    <cfRule type="expression" dxfId="30" priority="113">
      <formula>ISNUMBER(G34)</formula>
    </cfRule>
  </conditionalFormatting>
  <conditionalFormatting sqref="G42:G45">
    <cfRule type="expression" dxfId="29" priority="110">
      <formula>$K$3&gt;$J$3</formula>
    </cfRule>
    <cfRule type="expression" dxfId="28" priority="111">
      <formula>ISNUMBER(G42)</formula>
    </cfRule>
  </conditionalFormatting>
  <conditionalFormatting sqref="G47:G56">
    <cfRule type="expression" dxfId="27" priority="21">
      <formula>$K$3&gt;$J$3</formula>
    </cfRule>
    <cfRule type="expression" dxfId="26" priority="22">
      <formula>ISNUMBER(G47)</formula>
    </cfRule>
  </conditionalFormatting>
  <conditionalFormatting sqref="G58">
    <cfRule type="expression" dxfId="25" priority="108">
      <formula>$K$3&gt;$J$3</formula>
    </cfRule>
    <cfRule type="expression" dxfId="24" priority="109">
      <formula>ISNUMBER(G58)</formula>
    </cfRule>
  </conditionalFormatting>
  <conditionalFormatting sqref="G60:G61 G63:G71">
    <cfRule type="expression" dxfId="23" priority="102">
      <formula>$K$3&gt;$J$3</formula>
    </cfRule>
    <cfRule type="expression" dxfId="22" priority="103">
      <formula>ISNUMBER(G60)</formula>
    </cfRule>
  </conditionalFormatting>
  <conditionalFormatting sqref="G73">
    <cfRule type="expression" dxfId="21" priority="98">
      <formula>$K$3&gt;$J$3</formula>
    </cfRule>
    <cfRule type="expression" dxfId="20" priority="99">
      <formula>ISNUMBER(G73)</formula>
    </cfRule>
  </conditionalFormatting>
  <conditionalFormatting sqref="G75:G76 G78:G83 G85 G87:G88 G90:G93">
    <cfRule type="expression" dxfId="19" priority="80">
      <formula>$K$3&gt;$J$3</formula>
    </cfRule>
    <cfRule type="expression" dxfId="18" priority="81">
      <formula>ISNUMBER(G75)</formula>
    </cfRule>
  </conditionalFormatting>
  <conditionalFormatting sqref="G95:G119">
    <cfRule type="expression" dxfId="17" priority="19">
      <formula>$K$3&gt;$J$3</formula>
    </cfRule>
    <cfRule type="expression" dxfId="16" priority="20">
      <formula>ISNUMBER(G95)</formula>
    </cfRule>
  </conditionalFormatting>
  <conditionalFormatting sqref="G121 G123:G125 G127:G129 G131:G133">
    <cfRule type="expression" dxfId="15" priority="64">
      <formula>$K$3&gt;$J$3</formula>
    </cfRule>
    <cfRule type="expression" dxfId="14" priority="65">
      <formula>ISNUMBER(G121)</formula>
    </cfRule>
  </conditionalFormatting>
  <conditionalFormatting sqref="G148:G159">
    <cfRule type="expression" dxfId="13" priority="15">
      <formula>$K$3&gt;$J$3</formula>
    </cfRule>
    <cfRule type="expression" dxfId="12" priority="16">
      <formula>ISNUMBER(G148)</formula>
    </cfRule>
  </conditionalFormatting>
  <conditionalFormatting sqref="G161:G166">
    <cfRule type="expression" dxfId="11" priority="9">
      <formula>$K$3&gt;$J$3</formula>
    </cfRule>
    <cfRule type="expression" dxfId="10" priority="10">
      <formula>ISNUMBER(G161)</formula>
    </cfRule>
  </conditionalFormatting>
  <conditionalFormatting sqref="G168:G171">
    <cfRule type="expression" dxfId="9" priority="27">
      <formula>$K$3&gt;$J$3</formula>
    </cfRule>
    <cfRule type="expression" dxfId="8" priority="28">
      <formula>ISNUMBER(G168)</formula>
    </cfRule>
  </conditionalFormatting>
  <conditionalFormatting sqref="G173:G183">
    <cfRule type="expression" dxfId="7" priority="5">
      <formula>$K$3&gt;$J$3</formula>
    </cfRule>
    <cfRule type="expression" dxfId="6" priority="6">
      <formula>ISNUMBER(G173)</formula>
    </cfRule>
  </conditionalFormatting>
  <conditionalFormatting sqref="G185:G197">
    <cfRule type="expression" dxfId="5" priority="1">
      <formula>$K$3&gt;$J$3</formula>
    </cfRule>
    <cfRule type="expression" dxfId="4" priority="2">
      <formula>ISNUMBER(G185)</formula>
    </cfRule>
  </conditionalFormatting>
  <conditionalFormatting sqref="G199 G201 G203 G205:G206">
    <cfRule type="expression" dxfId="3" priority="36">
      <formula>$K$3&gt;$J$3</formula>
    </cfRule>
    <cfRule type="expression" dxfId="2" priority="37">
      <formula>ISNUMBER(G199)</formula>
    </cfRule>
  </conditionalFormatting>
  <conditionalFormatting sqref="H32:H206">
    <cfRule type="cellIs" dxfId="1" priority="35" operator="equal">
      <formula>1</formula>
    </cfRule>
  </conditionalFormatting>
  <conditionalFormatting sqref="K3">
    <cfRule type="expression" dxfId="0" priority="127">
      <formula>$K$3&gt;$J$3</formula>
    </cfRule>
  </conditionalFormatting>
  <pageMargins left="0.25" right="0.25" top="0.75" bottom="0.75" header="0.3" footer="0.3"/>
  <pageSetup paperSize="9" scale="53" fitToHeight="0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Дані!$C$279:$C$289</xm:f>
          </x14:formula1>
          <xm:sqref>C3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89"/>
  <sheetViews>
    <sheetView zoomScale="85" zoomScaleNormal="85" workbookViewId="0">
      <selection activeCell="O276" sqref="O276"/>
    </sheetView>
  </sheetViews>
  <sheetFormatPr defaultColWidth="9.140625" defaultRowHeight="15" x14ac:dyDescent="0.25"/>
  <cols>
    <col min="1" max="1" width="9.140625" customWidth="1"/>
    <col min="2" max="2" width="44.7109375" customWidth="1"/>
    <col min="3" max="3" width="11.28515625" style="6" customWidth="1"/>
    <col min="4" max="4" width="12.85546875" customWidth="1"/>
    <col min="5" max="13" width="12.28515625" customWidth="1"/>
  </cols>
  <sheetData>
    <row r="1" spans="1:3" s="7" customFormat="1" ht="30" customHeight="1" x14ac:dyDescent="0.25">
      <c r="A1" s="169" t="s">
        <v>10</v>
      </c>
      <c r="B1" s="169"/>
      <c r="C1" s="169"/>
    </row>
    <row r="2" spans="1:3" ht="50.25" customHeight="1" x14ac:dyDescent="0.25">
      <c r="A2" s="1" t="s">
        <v>0</v>
      </c>
      <c r="B2" s="2" t="s">
        <v>17</v>
      </c>
      <c r="C2" s="2" t="s">
        <v>29</v>
      </c>
    </row>
    <row r="3" spans="1:3" ht="15" customHeight="1" x14ac:dyDescent="0.25">
      <c r="A3" s="1" t="s">
        <v>30</v>
      </c>
      <c r="B3" s="20" t="s">
        <v>31</v>
      </c>
      <c r="C3" s="8">
        <v>0</v>
      </c>
    </row>
    <row r="4" spans="1:3" x14ac:dyDescent="0.25">
      <c r="A4" s="1" t="s">
        <v>32</v>
      </c>
      <c r="B4" s="20" t="s">
        <v>33</v>
      </c>
      <c r="C4" s="8">
        <v>6.1728395061728392E-2</v>
      </c>
    </row>
    <row r="5" spans="1:3" x14ac:dyDescent="0.25">
      <c r="A5" s="1" t="s">
        <v>34</v>
      </c>
      <c r="B5" s="20" t="s">
        <v>35</v>
      </c>
      <c r="C5" s="8">
        <v>9.8765432098765427E-2</v>
      </c>
    </row>
    <row r="6" spans="1:3" x14ac:dyDescent="0.25">
      <c r="A6" s="1" t="s">
        <v>36</v>
      </c>
      <c r="B6" s="20" t="s">
        <v>37</v>
      </c>
      <c r="C6" s="8">
        <v>1</v>
      </c>
    </row>
    <row r="7" spans="1:3" s="10" customFormat="1" ht="15" customHeight="1" x14ac:dyDescent="0.25">
      <c r="A7" s="1" t="s">
        <v>38</v>
      </c>
      <c r="B7" s="20" t="s">
        <v>39</v>
      </c>
      <c r="C7" s="8">
        <v>8.6419753086419762E-2</v>
      </c>
    </row>
    <row r="8" spans="1:3" x14ac:dyDescent="0.25">
      <c r="A8" s="1" t="s">
        <v>40</v>
      </c>
      <c r="B8" s="20" t="s">
        <v>41</v>
      </c>
      <c r="C8" s="8">
        <v>0</v>
      </c>
    </row>
    <row r="9" spans="1:3" x14ac:dyDescent="0.25">
      <c r="A9" s="1" t="s">
        <v>42</v>
      </c>
      <c r="B9" s="20" t="s">
        <v>43</v>
      </c>
      <c r="C9" s="8">
        <v>0.28934010152284267</v>
      </c>
    </row>
    <row r="10" spans="1:3" x14ac:dyDescent="0.25">
      <c r="A10" s="1" t="s">
        <v>44</v>
      </c>
      <c r="B10" s="20" t="s">
        <v>45</v>
      </c>
      <c r="C10" s="8">
        <v>1</v>
      </c>
    </row>
    <row r="11" spans="1:3" ht="15" customHeight="1" x14ac:dyDescent="0.25">
      <c r="A11" s="1" t="s">
        <v>46</v>
      </c>
      <c r="B11" s="20" t="s">
        <v>47</v>
      </c>
      <c r="C11" s="8">
        <v>0</v>
      </c>
    </row>
    <row r="12" spans="1:3" x14ac:dyDescent="0.25">
      <c r="A12" s="1" t="s">
        <v>48</v>
      </c>
      <c r="B12" s="20" t="s">
        <v>49</v>
      </c>
      <c r="C12" s="8">
        <v>0.25</v>
      </c>
    </row>
    <row r="13" spans="1:3" x14ac:dyDescent="0.25">
      <c r="A13" s="1" t="s">
        <v>50</v>
      </c>
      <c r="B13" s="20" t="s">
        <v>51</v>
      </c>
      <c r="C13" s="8">
        <v>9.0425531914893623E-2</v>
      </c>
    </row>
    <row r="14" spans="1:3" x14ac:dyDescent="0.25">
      <c r="A14" s="1" t="s">
        <v>52</v>
      </c>
      <c r="B14" s="20" t="s">
        <v>53</v>
      </c>
      <c r="C14" s="8">
        <v>7.9787234042553196E-2</v>
      </c>
    </row>
    <row r="15" spans="1:3" ht="15" customHeight="1" x14ac:dyDescent="0.25">
      <c r="A15" s="1" t="s">
        <v>54</v>
      </c>
      <c r="B15" s="20" t="s">
        <v>55</v>
      </c>
      <c r="C15" s="8">
        <v>1</v>
      </c>
    </row>
    <row r="16" spans="1:3" x14ac:dyDescent="0.25">
      <c r="A16" s="1" t="s">
        <v>56</v>
      </c>
      <c r="B16" s="20" t="s">
        <v>57</v>
      </c>
      <c r="C16" s="8">
        <v>0</v>
      </c>
    </row>
    <row r="17" spans="1:3" x14ac:dyDescent="0.25">
      <c r="A17" s="1" t="s">
        <v>58</v>
      </c>
      <c r="B17" s="20" t="s">
        <v>59</v>
      </c>
      <c r="C17" s="8">
        <v>0.56575875486381322</v>
      </c>
    </row>
    <row r="18" spans="1:3" s="10" customFormat="1" ht="15" customHeight="1" x14ac:dyDescent="0.25">
      <c r="A18" s="1" t="s">
        <v>60</v>
      </c>
      <c r="B18" s="20" t="s">
        <v>61</v>
      </c>
      <c r="C18" s="8">
        <v>0</v>
      </c>
    </row>
    <row r="19" spans="1:3" x14ac:dyDescent="0.25">
      <c r="A19" s="1" t="s">
        <v>62</v>
      </c>
      <c r="B19" s="20" t="s">
        <v>63</v>
      </c>
      <c r="C19" s="8">
        <v>0.37743190661478598</v>
      </c>
    </row>
    <row r="20" spans="1:3" x14ac:dyDescent="0.25">
      <c r="A20" s="1" t="s">
        <v>64</v>
      </c>
      <c r="B20" s="20" t="s">
        <v>65</v>
      </c>
      <c r="C20" s="8">
        <v>0.27003891050583662</v>
      </c>
    </row>
    <row r="21" spans="1:3" x14ac:dyDescent="0.25">
      <c r="A21" s="1" t="s">
        <v>66</v>
      </c>
      <c r="B21" s="20" t="s">
        <v>67</v>
      </c>
      <c r="C21" s="8">
        <v>9.8832684824902733E-2</v>
      </c>
    </row>
    <row r="22" spans="1:3" ht="15" customHeight="1" x14ac:dyDescent="0.25">
      <c r="A22" s="1" t="s">
        <v>68</v>
      </c>
      <c r="B22" s="20" t="s">
        <v>69</v>
      </c>
      <c r="C22" s="8">
        <v>0.14396887159533076</v>
      </c>
    </row>
    <row r="23" spans="1:3" x14ac:dyDescent="0.25">
      <c r="A23" s="1" t="s">
        <v>70</v>
      </c>
      <c r="B23" s="20" t="s">
        <v>71</v>
      </c>
      <c r="C23" s="8">
        <v>0</v>
      </c>
    </row>
    <row r="24" spans="1:3" x14ac:dyDescent="0.25">
      <c r="A24" s="1" t="s">
        <v>72</v>
      </c>
      <c r="B24" s="20" t="s">
        <v>73</v>
      </c>
      <c r="C24" s="8">
        <v>0.61089494163424118</v>
      </c>
    </row>
    <row r="25" spans="1:3" x14ac:dyDescent="0.25">
      <c r="A25" s="1" t="s">
        <v>74</v>
      </c>
      <c r="B25" s="20" t="s">
        <v>75</v>
      </c>
      <c r="C25" s="8">
        <v>1</v>
      </c>
    </row>
    <row r="26" spans="1:3" x14ac:dyDescent="0.25">
      <c r="A26" s="1" t="s">
        <v>76</v>
      </c>
      <c r="B26" s="20" t="s">
        <v>77</v>
      </c>
      <c r="C26" s="8">
        <v>0.61478599221789887</v>
      </c>
    </row>
    <row r="27" spans="1:3" x14ac:dyDescent="0.25">
      <c r="A27" s="1" t="s">
        <v>78</v>
      </c>
      <c r="B27" s="20" t="s">
        <v>79</v>
      </c>
      <c r="C27" s="8">
        <v>0</v>
      </c>
    </row>
    <row r="28" spans="1:3" x14ac:dyDescent="0.25">
      <c r="A28" s="1" t="s">
        <v>80</v>
      </c>
      <c r="B28" s="20" t="s">
        <v>81</v>
      </c>
      <c r="C28" s="8">
        <v>1</v>
      </c>
    </row>
    <row r="29" spans="1:3" x14ac:dyDescent="0.25">
      <c r="A29" s="1" t="s">
        <v>82</v>
      </c>
      <c r="B29" s="20" t="s">
        <v>83</v>
      </c>
      <c r="C29" s="8">
        <v>0</v>
      </c>
    </row>
    <row r="30" spans="1:3" x14ac:dyDescent="0.25">
      <c r="A30" s="1" t="s">
        <v>84</v>
      </c>
      <c r="B30" s="20" t="s">
        <v>85</v>
      </c>
      <c r="C30" s="8">
        <v>0.42836381252270794</v>
      </c>
    </row>
    <row r="31" spans="1:3" x14ac:dyDescent="0.25">
      <c r="A31" s="1" t="s">
        <v>86</v>
      </c>
      <c r="B31" s="20" t="s">
        <v>87</v>
      </c>
      <c r="C31" s="8">
        <v>1</v>
      </c>
    </row>
    <row r="32" spans="1:3" x14ac:dyDescent="0.25">
      <c r="A32" s="1" t="s">
        <v>88</v>
      </c>
      <c r="B32" s="20" t="s">
        <v>89</v>
      </c>
      <c r="C32" s="8">
        <v>0</v>
      </c>
    </row>
    <row r="33" spans="1:3" x14ac:dyDescent="0.25">
      <c r="A33" s="1" t="s">
        <v>90</v>
      </c>
      <c r="B33" s="20" t="s">
        <v>91</v>
      </c>
      <c r="C33" s="8">
        <v>0</v>
      </c>
    </row>
    <row r="34" spans="1:3" x14ac:dyDescent="0.25">
      <c r="A34" s="1" t="s">
        <v>92</v>
      </c>
      <c r="B34" s="20" t="s">
        <v>93</v>
      </c>
      <c r="C34" s="8">
        <v>1</v>
      </c>
    </row>
    <row r="35" spans="1:3" x14ac:dyDescent="0.25">
      <c r="A35" s="1" t="s">
        <v>94</v>
      </c>
      <c r="B35" s="20" t="s">
        <v>95</v>
      </c>
      <c r="C35" s="8">
        <v>0.83296213808463249</v>
      </c>
    </row>
    <row r="36" spans="1:3" x14ac:dyDescent="0.25">
      <c r="A36" s="1" t="s">
        <v>96</v>
      </c>
      <c r="B36" s="20" t="s">
        <v>97</v>
      </c>
      <c r="C36" s="8">
        <v>0.69376391982182628</v>
      </c>
    </row>
    <row r="37" spans="1:3" x14ac:dyDescent="0.25">
      <c r="A37" s="1" t="s">
        <v>98</v>
      </c>
      <c r="B37" s="20" t="s">
        <v>99</v>
      </c>
      <c r="C37" s="8">
        <v>6.347438752783964E-2</v>
      </c>
    </row>
    <row r="38" spans="1:3" x14ac:dyDescent="0.25">
      <c r="A38" s="1" t="s">
        <v>100</v>
      </c>
      <c r="B38" s="20" t="s">
        <v>101</v>
      </c>
      <c r="C38" s="8">
        <v>0</v>
      </c>
    </row>
    <row r="39" spans="1:3" x14ac:dyDescent="0.25">
      <c r="A39" s="1" t="s">
        <v>102</v>
      </c>
      <c r="B39" s="20" t="s">
        <v>103</v>
      </c>
      <c r="C39" s="8">
        <v>0.17483296213808464</v>
      </c>
    </row>
    <row r="40" spans="1:3" x14ac:dyDescent="0.25">
      <c r="A40" s="1" t="s">
        <v>104</v>
      </c>
      <c r="B40" s="20" t="s">
        <v>105</v>
      </c>
      <c r="C40" s="8">
        <v>0.24164810690423164</v>
      </c>
    </row>
    <row r="41" spans="1:3" x14ac:dyDescent="0.25">
      <c r="A41" s="1" t="s">
        <v>106</v>
      </c>
      <c r="B41" s="20" t="s">
        <v>107</v>
      </c>
      <c r="C41" s="8">
        <v>0.4532293986636971</v>
      </c>
    </row>
    <row r="42" spans="1:3" x14ac:dyDescent="0.25">
      <c r="A42" s="1" t="s">
        <v>108</v>
      </c>
      <c r="B42" s="20" t="s">
        <v>109</v>
      </c>
      <c r="C42" s="8">
        <v>0</v>
      </c>
    </row>
    <row r="43" spans="1:3" x14ac:dyDescent="0.25">
      <c r="A43" s="1" t="s">
        <v>110</v>
      </c>
      <c r="B43" s="20" t="s">
        <v>111</v>
      </c>
      <c r="C43" s="8">
        <v>1</v>
      </c>
    </row>
    <row r="44" spans="1:3" x14ac:dyDescent="0.25">
      <c r="A44" s="1" t="s">
        <v>112</v>
      </c>
      <c r="B44" s="20" t="s">
        <v>113</v>
      </c>
      <c r="C44" s="8">
        <v>0</v>
      </c>
    </row>
    <row r="45" spans="1:3" x14ac:dyDescent="0.25">
      <c r="A45" s="1" t="s">
        <v>114</v>
      </c>
      <c r="B45" s="20" t="s">
        <v>115</v>
      </c>
      <c r="C45" s="8">
        <v>1</v>
      </c>
    </row>
    <row r="46" spans="1:3" x14ac:dyDescent="0.25">
      <c r="A46" s="1" t="s">
        <v>116</v>
      </c>
      <c r="B46" s="20" t="s">
        <v>117</v>
      </c>
      <c r="C46" s="8">
        <v>0.45355191256830601</v>
      </c>
    </row>
    <row r="47" spans="1:3" x14ac:dyDescent="0.25">
      <c r="A47" s="1" t="s">
        <v>118</v>
      </c>
      <c r="B47" s="20" t="s">
        <v>119</v>
      </c>
      <c r="C47" s="8">
        <v>0</v>
      </c>
    </row>
    <row r="48" spans="1:3" x14ac:dyDescent="0.25">
      <c r="A48" s="1" t="s">
        <v>120</v>
      </c>
      <c r="B48" s="20" t="s">
        <v>121</v>
      </c>
      <c r="C48" s="8">
        <v>0.21019108280254778</v>
      </c>
    </row>
    <row r="49" spans="1:3" x14ac:dyDescent="0.25">
      <c r="A49" s="1" t="s">
        <v>122</v>
      </c>
      <c r="B49" s="20" t="s">
        <v>123</v>
      </c>
      <c r="C49" s="8">
        <v>1</v>
      </c>
    </row>
    <row r="50" spans="1:3" x14ac:dyDescent="0.25">
      <c r="A50" s="1" t="s">
        <v>124</v>
      </c>
      <c r="B50" s="20" t="s">
        <v>125</v>
      </c>
      <c r="C50" s="8">
        <v>4.4585987261146501E-2</v>
      </c>
    </row>
    <row r="51" spans="1:3" x14ac:dyDescent="0.25">
      <c r="A51" s="1" t="s">
        <v>126</v>
      </c>
      <c r="B51" s="20" t="s">
        <v>127</v>
      </c>
      <c r="C51" s="8">
        <v>0.30573248407643311</v>
      </c>
    </row>
    <row r="52" spans="1:3" x14ac:dyDescent="0.25">
      <c r="A52" s="1" t="s">
        <v>128</v>
      </c>
      <c r="B52" s="20" t="s">
        <v>129</v>
      </c>
      <c r="C52" s="8">
        <v>0.71337579617834401</v>
      </c>
    </row>
    <row r="53" spans="1:3" x14ac:dyDescent="0.25">
      <c r="A53" s="1" t="s">
        <v>130</v>
      </c>
      <c r="B53" s="20" t="s">
        <v>131</v>
      </c>
      <c r="C53" s="8">
        <v>0.94267515923566869</v>
      </c>
    </row>
    <row r="54" spans="1:3" x14ac:dyDescent="0.25">
      <c r="A54" s="1" t="s">
        <v>132</v>
      </c>
      <c r="B54" s="20" t="s">
        <v>133</v>
      </c>
      <c r="C54" s="8">
        <v>0</v>
      </c>
    </row>
    <row r="55" spans="1:3" x14ac:dyDescent="0.25">
      <c r="A55" s="1" t="s">
        <v>134</v>
      </c>
      <c r="B55" s="20" t="s">
        <v>135</v>
      </c>
      <c r="C55" s="8">
        <v>1</v>
      </c>
    </row>
    <row r="56" spans="1:3" x14ac:dyDescent="0.25">
      <c r="A56" s="1" t="s">
        <v>136</v>
      </c>
      <c r="B56" s="20" t="s">
        <v>137</v>
      </c>
      <c r="C56" s="8">
        <v>0</v>
      </c>
    </row>
    <row r="57" spans="1:3" x14ac:dyDescent="0.25">
      <c r="A57" s="1" t="s">
        <v>138</v>
      </c>
      <c r="B57" s="20" t="s">
        <v>139</v>
      </c>
      <c r="C57" s="8">
        <v>1</v>
      </c>
    </row>
    <row r="58" spans="1:3" x14ac:dyDescent="0.25">
      <c r="A58" s="1" t="s">
        <v>140</v>
      </c>
      <c r="B58" s="20" t="s">
        <v>141</v>
      </c>
      <c r="C58" s="8">
        <v>0.81896551724137934</v>
      </c>
    </row>
    <row r="59" spans="1:3" x14ac:dyDescent="0.25">
      <c r="A59" s="1" t="s">
        <v>142</v>
      </c>
      <c r="B59" s="20" t="s">
        <v>143</v>
      </c>
      <c r="C59" s="8">
        <v>0</v>
      </c>
    </row>
    <row r="60" spans="1:3" x14ac:dyDescent="0.25">
      <c r="A60" s="1" t="s">
        <v>144</v>
      </c>
      <c r="B60" s="20" t="s">
        <v>143</v>
      </c>
      <c r="C60" s="8">
        <v>0</v>
      </c>
    </row>
    <row r="61" spans="1:3" x14ac:dyDescent="0.25">
      <c r="A61" s="1" t="s">
        <v>145</v>
      </c>
      <c r="B61" s="20" t="s">
        <v>146</v>
      </c>
      <c r="C61" s="8">
        <v>0.34785992217898831</v>
      </c>
    </row>
    <row r="62" spans="1:3" x14ac:dyDescent="0.25">
      <c r="A62" s="1" t="s">
        <v>147</v>
      </c>
      <c r="B62" s="20" t="s">
        <v>148</v>
      </c>
      <c r="C62" s="8">
        <v>0.53307392996108949</v>
      </c>
    </row>
    <row r="63" spans="1:3" x14ac:dyDescent="0.25">
      <c r="A63" s="1" t="s">
        <v>149</v>
      </c>
      <c r="B63" s="20" t="s">
        <v>150</v>
      </c>
      <c r="C63" s="8">
        <v>1</v>
      </c>
    </row>
    <row r="64" spans="1:3" x14ac:dyDescent="0.25">
      <c r="A64" s="1" t="s">
        <v>151</v>
      </c>
      <c r="B64" s="20" t="s">
        <v>152</v>
      </c>
      <c r="C64" s="8">
        <v>0</v>
      </c>
    </row>
    <row r="65" spans="1:3" x14ac:dyDescent="0.25">
      <c r="A65" s="1" t="s">
        <v>153</v>
      </c>
      <c r="B65" s="20" t="s">
        <v>154</v>
      </c>
      <c r="C65" s="8">
        <v>0</v>
      </c>
    </row>
    <row r="66" spans="1:3" x14ac:dyDescent="0.25">
      <c r="A66" s="1" t="s">
        <v>155</v>
      </c>
      <c r="B66" s="20" t="s">
        <v>156</v>
      </c>
      <c r="C66" s="8">
        <v>0</v>
      </c>
    </row>
    <row r="67" spans="1:3" x14ac:dyDescent="0.25">
      <c r="A67" s="1" t="s">
        <v>157</v>
      </c>
      <c r="B67" s="20" t="s">
        <v>158</v>
      </c>
      <c r="C67" s="8">
        <v>0.16561181434599156</v>
      </c>
    </row>
    <row r="68" spans="1:3" x14ac:dyDescent="0.25">
      <c r="A68" s="1" t="s">
        <v>159</v>
      </c>
      <c r="B68" s="20" t="s">
        <v>160</v>
      </c>
      <c r="C68" s="8">
        <v>0.19514767932489452</v>
      </c>
    </row>
    <row r="69" spans="1:3" x14ac:dyDescent="0.25">
      <c r="A69" s="1" t="s">
        <v>161</v>
      </c>
      <c r="B69" s="20" t="s">
        <v>162</v>
      </c>
      <c r="C69" s="8">
        <v>0</v>
      </c>
    </row>
    <row r="70" spans="1:3" x14ac:dyDescent="0.25">
      <c r="A70" s="1" t="s">
        <v>163</v>
      </c>
      <c r="B70" s="20" t="s">
        <v>158</v>
      </c>
      <c r="C70" s="8">
        <v>0.19725738396624473</v>
      </c>
    </row>
    <row r="71" spans="1:3" x14ac:dyDescent="0.25">
      <c r="A71" s="1" t="s">
        <v>164</v>
      </c>
      <c r="B71" s="20" t="s">
        <v>160</v>
      </c>
      <c r="C71" s="8">
        <v>0.25</v>
      </c>
    </row>
    <row r="72" spans="1:3" x14ac:dyDescent="0.25">
      <c r="A72" s="1" t="s">
        <v>165</v>
      </c>
      <c r="B72" s="20" t="s">
        <v>166</v>
      </c>
      <c r="C72" s="8">
        <v>0</v>
      </c>
    </row>
    <row r="73" spans="1:3" x14ac:dyDescent="0.25">
      <c r="A73" s="1" t="s">
        <v>167</v>
      </c>
      <c r="B73" s="20" t="s">
        <v>156</v>
      </c>
      <c r="C73" s="8">
        <v>0</v>
      </c>
    </row>
    <row r="74" spans="1:3" x14ac:dyDescent="0.25">
      <c r="A74" s="1" t="s">
        <v>168</v>
      </c>
      <c r="B74" s="20" t="s">
        <v>169</v>
      </c>
      <c r="C74" s="8">
        <v>0.42932489451476796</v>
      </c>
    </row>
    <row r="75" spans="1:3" x14ac:dyDescent="0.25">
      <c r="A75" s="1" t="s">
        <v>170</v>
      </c>
      <c r="B75" s="20" t="s">
        <v>160</v>
      </c>
      <c r="C75" s="8">
        <v>0.53481012658227844</v>
      </c>
    </row>
    <row r="76" spans="1:3" x14ac:dyDescent="0.25">
      <c r="A76" s="1" t="s">
        <v>171</v>
      </c>
      <c r="B76" s="20" t="s">
        <v>162</v>
      </c>
      <c r="C76" s="8">
        <v>0</v>
      </c>
    </row>
    <row r="77" spans="1:3" x14ac:dyDescent="0.25">
      <c r="A77" s="1" t="s">
        <v>172</v>
      </c>
      <c r="B77" s="20" t="s">
        <v>169</v>
      </c>
      <c r="C77" s="8">
        <v>0.64029535864978904</v>
      </c>
    </row>
    <row r="78" spans="1:3" x14ac:dyDescent="0.25">
      <c r="A78" s="1" t="s">
        <v>173</v>
      </c>
      <c r="B78" s="20" t="s">
        <v>160</v>
      </c>
      <c r="C78" s="8">
        <v>0.80907172995780585</v>
      </c>
    </row>
    <row r="79" spans="1:3" x14ac:dyDescent="0.25">
      <c r="A79" s="1" t="s">
        <v>174</v>
      </c>
      <c r="B79" s="20" t="s">
        <v>175</v>
      </c>
      <c r="C79" s="8">
        <v>0</v>
      </c>
    </row>
    <row r="80" spans="1:3" x14ac:dyDescent="0.25">
      <c r="A80" s="1" t="s">
        <v>176</v>
      </c>
      <c r="B80" s="20" t="s">
        <v>169</v>
      </c>
      <c r="C80" s="8">
        <v>0.64029535864978904</v>
      </c>
    </row>
    <row r="81" spans="1:3" x14ac:dyDescent="0.25">
      <c r="A81" s="1" t="s">
        <v>177</v>
      </c>
      <c r="B81" s="20" t="s">
        <v>160</v>
      </c>
      <c r="C81" s="8">
        <v>0.810126582278481</v>
      </c>
    </row>
    <row r="82" spans="1:3" x14ac:dyDescent="0.25">
      <c r="A82" s="1" t="s">
        <v>178</v>
      </c>
      <c r="B82" s="20" t="s">
        <v>179</v>
      </c>
      <c r="C82" s="8">
        <v>1</v>
      </c>
    </row>
    <row r="83" spans="1:3" x14ac:dyDescent="0.25">
      <c r="A83" s="1" t="s">
        <v>180</v>
      </c>
      <c r="B83" s="20" t="s">
        <v>181</v>
      </c>
      <c r="C83" s="8">
        <v>0</v>
      </c>
    </row>
    <row r="84" spans="1:3" x14ac:dyDescent="0.25">
      <c r="A84" s="1" t="s">
        <v>182</v>
      </c>
      <c r="B84" s="20" t="s">
        <v>183</v>
      </c>
      <c r="C84" s="8">
        <v>9.1772151898734167E-2</v>
      </c>
    </row>
    <row r="85" spans="1:3" x14ac:dyDescent="0.25">
      <c r="A85" s="1" t="s">
        <v>184</v>
      </c>
      <c r="B85" s="20" t="s">
        <v>185</v>
      </c>
      <c r="C85" s="8">
        <v>0.15084388185654007</v>
      </c>
    </row>
    <row r="86" spans="1:3" x14ac:dyDescent="0.25">
      <c r="A86" s="1" t="s">
        <v>186</v>
      </c>
      <c r="B86" s="20" t="s">
        <v>187</v>
      </c>
      <c r="C86" s="8">
        <v>0</v>
      </c>
    </row>
    <row r="87" spans="1:3" x14ac:dyDescent="0.25">
      <c r="A87" s="1" t="s">
        <v>188</v>
      </c>
      <c r="B87" s="20" t="s">
        <v>169</v>
      </c>
      <c r="C87" s="8">
        <v>0.24578059071729957</v>
      </c>
    </row>
    <row r="88" spans="1:3" x14ac:dyDescent="0.25">
      <c r="A88" s="1" t="s">
        <v>189</v>
      </c>
      <c r="B88" s="20" t="s">
        <v>160</v>
      </c>
      <c r="C88" s="8">
        <v>0.37236286919831219</v>
      </c>
    </row>
    <row r="89" spans="1:3" x14ac:dyDescent="0.25">
      <c r="A89" s="1" t="s">
        <v>190</v>
      </c>
      <c r="B89" s="20" t="s">
        <v>179</v>
      </c>
      <c r="C89" s="8">
        <v>0.49894514767932491</v>
      </c>
    </row>
    <row r="90" spans="1:3" x14ac:dyDescent="0.25">
      <c r="A90" s="1" t="s">
        <v>191</v>
      </c>
      <c r="B90" s="20" t="s">
        <v>192</v>
      </c>
      <c r="C90" s="8">
        <v>0</v>
      </c>
    </row>
    <row r="91" spans="1:3" x14ac:dyDescent="0.25">
      <c r="A91" s="1" t="s">
        <v>193</v>
      </c>
      <c r="B91" s="20" t="s">
        <v>194</v>
      </c>
      <c r="C91" s="8">
        <v>1</v>
      </c>
    </row>
    <row r="92" spans="1:3" x14ac:dyDescent="0.25">
      <c r="A92" s="1" t="s">
        <v>195</v>
      </c>
      <c r="B92" s="20" t="s">
        <v>196</v>
      </c>
      <c r="C92" s="8">
        <v>0</v>
      </c>
    </row>
    <row r="93" spans="1:3" x14ac:dyDescent="0.25">
      <c r="A93" s="1" t="s">
        <v>197</v>
      </c>
      <c r="B93" s="20" t="s">
        <v>198</v>
      </c>
      <c r="C93" s="8">
        <v>0.39146800501882056</v>
      </c>
    </row>
    <row r="94" spans="1:3" x14ac:dyDescent="0.25">
      <c r="A94" s="1" t="s">
        <v>199</v>
      </c>
      <c r="B94" s="20" t="s">
        <v>200</v>
      </c>
      <c r="C94" s="8">
        <v>1</v>
      </c>
    </row>
    <row r="95" spans="1:3" x14ac:dyDescent="0.25">
      <c r="A95" s="1" t="s">
        <v>201</v>
      </c>
      <c r="B95" s="20" t="s">
        <v>202</v>
      </c>
      <c r="C95" s="8">
        <v>0.58594730238393977</v>
      </c>
    </row>
    <row r="96" spans="1:3" x14ac:dyDescent="0.25">
      <c r="A96" s="1" t="s">
        <v>203</v>
      </c>
      <c r="B96" s="20" t="s">
        <v>204</v>
      </c>
      <c r="C96" s="8">
        <v>0</v>
      </c>
    </row>
    <row r="97" spans="1:3" x14ac:dyDescent="0.25">
      <c r="A97" s="1" t="s">
        <v>205</v>
      </c>
      <c r="B97" s="20" t="s">
        <v>206</v>
      </c>
      <c r="C97" s="8">
        <v>0.43029779887785929</v>
      </c>
    </row>
    <row r="98" spans="1:3" x14ac:dyDescent="0.25">
      <c r="A98" s="1" t="s">
        <v>207</v>
      </c>
      <c r="B98" s="20" t="s">
        <v>208</v>
      </c>
      <c r="C98" s="8">
        <v>0.6892533448424687</v>
      </c>
    </row>
    <row r="99" spans="1:3" x14ac:dyDescent="0.25">
      <c r="A99" s="1" t="s">
        <v>209</v>
      </c>
      <c r="B99" s="20" t="s">
        <v>210</v>
      </c>
      <c r="C99" s="8">
        <v>1</v>
      </c>
    </row>
    <row r="100" spans="1:3" x14ac:dyDescent="0.25">
      <c r="A100" s="1" t="s">
        <v>211</v>
      </c>
      <c r="B100" s="20" t="s">
        <v>212</v>
      </c>
      <c r="C100" s="8">
        <v>0</v>
      </c>
    </row>
    <row r="101" spans="1:3" x14ac:dyDescent="0.25">
      <c r="A101" s="1" t="s">
        <v>213</v>
      </c>
      <c r="B101" s="20" t="s">
        <v>214</v>
      </c>
      <c r="C101" s="8">
        <v>1</v>
      </c>
    </row>
    <row r="102" spans="1:3" x14ac:dyDescent="0.25">
      <c r="A102" s="1" t="s">
        <v>215</v>
      </c>
      <c r="B102" s="20" t="s">
        <v>216</v>
      </c>
      <c r="C102" s="8">
        <v>0.70501474926253682</v>
      </c>
    </row>
    <row r="103" spans="1:3" x14ac:dyDescent="0.25">
      <c r="A103" s="1" t="s">
        <v>217</v>
      </c>
      <c r="B103" s="20" t="s">
        <v>218</v>
      </c>
      <c r="C103" s="8">
        <v>0.46133128126202383</v>
      </c>
    </row>
    <row r="104" spans="1:3" x14ac:dyDescent="0.25">
      <c r="A104" s="1" t="s">
        <v>219</v>
      </c>
      <c r="B104" s="20" t="s">
        <v>220</v>
      </c>
      <c r="C104" s="8">
        <v>0</v>
      </c>
    </row>
    <row r="105" spans="1:3" x14ac:dyDescent="0.25">
      <c r="A105" s="1" t="s">
        <v>221</v>
      </c>
      <c r="B105" s="20" t="s">
        <v>222</v>
      </c>
      <c r="C105" s="8">
        <v>0</v>
      </c>
    </row>
    <row r="106" spans="1:3" x14ac:dyDescent="0.25">
      <c r="A106" s="1" t="s">
        <v>223</v>
      </c>
      <c r="B106" s="20" t="s">
        <v>224</v>
      </c>
      <c r="C106" s="8">
        <v>0.23709417648554718</v>
      </c>
    </row>
    <row r="107" spans="1:3" x14ac:dyDescent="0.25">
      <c r="A107" s="1" t="s">
        <v>225</v>
      </c>
      <c r="B107" s="20" t="s">
        <v>226</v>
      </c>
      <c r="C107" s="8">
        <v>0.34729168432652369</v>
      </c>
    </row>
    <row r="108" spans="1:3" x14ac:dyDescent="0.25">
      <c r="A108" s="1" t="s">
        <v>227</v>
      </c>
      <c r="B108" s="20" t="s">
        <v>228</v>
      </c>
      <c r="C108" s="8">
        <v>0.54225650589132834</v>
      </c>
    </row>
    <row r="109" spans="1:3" x14ac:dyDescent="0.25">
      <c r="A109" s="1" t="s">
        <v>229</v>
      </c>
      <c r="B109" s="20" t="s">
        <v>230</v>
      </c>
      <c r="C109" s="8">
        <v>0.80503517843519534</v>
      </c>
    </row>
    <row r="110" spans="1:3" x14ac:dyDescent="0.25">
      <c r="A110" s="1" t="s">
        <v>231</v>
      </c>
      <c r="B110" s="20" t="s">
        <v>232</v>
      </c>
      <c r="C110" s="8">
        <v>1</v>
      </c>
    </row>
    <row r="111" spans="1:3" x14ac:dyDescent="0.25">
      <c r="A111" s="1" t="s">
        <v>233</v>
      </c>
      <c r="B111" s="20" t="s">
        <v>234</v>
      </c>
      <c r="C111" s="8">
        <v>0</v>
      </c>
    </row>
    <row r="112" spans="1:3" x14ac:dyDescent="0.25">
      <c r="A112" s="1" t="s">
        <v>235</v>
      </c>
      <c r="B112" s="20" t="s">
        <v>224</v>
      </c>
      <c r="C112" s="8">
        <v>0.15656522844791049</v>
      </c>
    </row>
    <row r="113" spans="1:3" x14ac:dyDescent="0.25">
      <c r="A113" s="1" t="s">
        <v>236</v>
      </c>
      <c r="B113" s="20" t="s">
        <v>226</v>
      </c>
      <c r="C113" s="8">
        <v>0.18623378825125031</v>
      </c>
    </row>
    <row r="114" spans="1:3" x14ac:dyDescent="0.25">
      <c r="A114" s="1" t="s">
        <v>237</v>
      </c>
      <c r="B114" s="20" t="s">
        <v>228</v>
      </c>
      <c r="C114" s="8">
        <v>0.20742561668220735</v>
      </c>
    </row>
    <row r="115" spans="1:3" x14ac:dyDescent="0.25">
      <c r="A115" s="1" t="s">
        <v>238</v>
      </c>
      <c r="B115" s="20" t="s">
        <v>230</v>
      </c>
      <c r="C115" s="8">
        <v>0.22861744511316437</v>
      </c>
    </row>
    <row r="116" spans="1:3" x14ac:dyDescent="0.25">
      <c r="A116" s="1" t="s">
        <v>239</v>
      </c>
      <c r="B116" s="20" t="s">
        <v>232</v>
      </c>
      <c r="C116" s="8">
        <v>0.29643129609222685</v>
      </c>
    </row>
    <row r="117" spans="1:3" x14ac:dyDescent="0.25">
      <c r="A117" s="1" t="s">
        <v>240</v>
      </c>
      <c r="B117" s="20" t="s">
        <v>241</v>
      </c>
      <c r="C117" s="8">
        <v>0</v>
      </c>
    </row>
    <row r="118" spans="1:3" x14ac:dyDescent="0.25">
      <c r="A118" s="1" t="s">
        <v>242</v>
      </c>
      <c r="B118" s="20" t="s">
        <v>222</v>
      </c>
      <c r="C118" s="8">
        <v>0</v>
      </c>
    </row>
    <row r="119" spans="1:3" x14ac:dyDescent="0.25">
      <c r="A119" s="1" t="s">
        <v>243</v>
      </c>
      <c r="B119" s="20" t="s">
        <v>224</v>
      </c>
      <c r="C119" s="8">
        <v>0.67367390549175232</v>
      </c>
    </row>
    <row r="120" spans="1:3" x14ac:dyDescent="0.25">
      <c r="A120" s="1" t="s">
        <v>244</v>
      </c>
      <c r="B120" s="20" t="s">
        <v>226</v>
      </c>
      <c r="C120" s="8">
        <v>0.74736044296135662</v>
      </c>
    </row>
    <row r="121" spans="1:3" x14ac:dyDescent="0.25">
      <c r="A121" s="1" t="s">
        <v>245</v>
      </c>
      <c r="B121" s="20" t="s">
        <v>228</v>
      </c>
      <c r="C121" s="8">
        <v>0.91578681432045217</v>
      </c>
    </row>
    <row r="122" spans="1:3" x14ac:dyDescent="0.25">
      <c r="A122" s="1" t="s">
        <v>246</v>
      </c>
      <c r="B122" s="20" t="s">
        <v>230</v>
      </c>
      <c r="C122" s="8">
        <v>0.91578681432045217</v>
      </c>
    </row>
    <row r="123" spans="1:3" x14ac:dyDescent="0.25">
      <c r="A123" s="1" t="s">
        <v>247</v>
      </c>
      <c r="B123" s="20" t="s">
        <v>232</v>
      </c>
      <c r="C123" s="8">
        <v>1</v>
      </c>
    </row>
    <row r="124" spans="1:3" x14ac:dyDescent="0.25">
      <c r="A124" s="1" t="s">
        <v>248</v>
      </c>
      <c r="B124" s="20" t="s">
        <v>234</v>
      </c>
      <c r="C124" s="8">
        <v>0</v>
      </c>
    </row>
    <row r="125" spans="1:3" x14ac:dyDescent="0.25">
      <c r="A125" s="1" t="s">
        <v>249</v>
      </c>
      <c r="B125" s="20" t="s">
        <v>224</v>
      </c>
      <c r="C125" s="8">
        <v>0.56840742339231765</v>
      </c>
    </row>
    <row r="126" spans="1:3" x14ac:dyDescent="0.25">
      <c r="A126" s="1" t="s">
        <v>250</v>
      </c>
      <c r="B126" s="20" t="s">
        <v>226</v>
      </c>
      <c r="C126" s="8">
        <v>0.62104066444203498</v>
      </c>
    </row>
    <row r="127" spans="1:3" x14ac:dyDescent="0.25">
      <c r="A127" s="1" t="s">
        <v>251</v>
      </c>
      <c r="B127" s="20" t="s">
        <v>228</v>
      </c>
      <c r="C127" s="8">
        <v>0.83157362864090445</v>
      </c>
    </row>
    <row r="128" spans="1:3" x14ac:dyDescent="0.25">
      <c r="A128" s="1" t="s">
        <v>252</v>
      </c>
      <c r="B128" s="20" t="s">
        <v>230</v>
      </c>
      <c r="C128" s="8">
        <v>0.83157362864090445</v>
      </c>
    </row>
    <row r="129" spans="1:3" x14ac:dyDescent="0.25">
      <c r="A129" s="1" t="s">
        <v>253</v>
      </c>
      <c r="B129" s="20" t="s">
        <v>232</v>
      </c>
      <c r="C129" s="8">
        <v>0.91578681432045217</v>
      </c>
    </row>
    <row r="130" spans="1:3" x14ac:dyDescent="0.25">
      <c r="A130" s="1" t="s">
        <v>254</v>
      </c>
      <c r="B130" s="20" t="s">
        <v>255</v>
      </c>
      <c r="C130" s="8">
        <v>0</v>
      </c>
    </row>
    <row r="131" spans="1:3" x14ac:dyDescent="0.25">
      <c r="A131" s="1" t="s">
        <v>256</v>
      </c>
      <c r="B131" s="20" t="s">
        <v>257</v>
      </c>
      <c r="C131" s="8">
        <v>0</v>
      </c>
    </row>
    <row r="132" spans="1:3" x14ac:dyDescent="0.25">
      <c r="A132" s="1" t="s">
        <v>258</v>
      </c>
      <c r="B132" s="20" t="s">
        <v>259</v>
      </c>
      <c r="C132" s="8">
        <v>0.49849548645937813</v>
      </c>
    </row>
    <row r="133" spans="1:3" x14ac:dyDescent="0.25">
      <c r="A133" s="1" t="s">
        <v>260</v>
      </c>
      <c r="B133" s="20" t="s">
        <v>261</v>
      </c>
      <c r="C133" s="8">
        <v>0.79939819458375128</v>
      </c>
    </row>
    <row r="134" spans="1:3" x14ac:dyDescent="0.25">
      <c r="A134" s="1" t="s">
        <v>262</v>
      </c>
      <c r="B134" s="20" t="s">
        <v>263</v>
      </c>
      <c r="C134" s="8">
        <v>0</v>
      </c>
    </row>
    <row r="135" spans="1:3" x14ac:dyDescent="0.25">
      <c r="A135" s="1" t="s">
        <v>264</v>
      </c>
      <c r="B135" s="20" t="s">
        <v>259</v>
      </c>
      <c r="C135" s="8">
        <v>0.59879638916750255</v>
      </c>
    </row>
    <row r="136" spans="1:3" x14ac:dyDescent="0.25">
      <c r="A136" s="1" t="s">
        <v>265</v>
      </c>
      <c r="B136" s="20" t="s">
        <v>261</v>
      </c>
      <c r="C136" s="8">
        <v>1</v>
      </c>
    </row>
    <row r="137" spans="1:3" x14ac:dyDescent="0.25">
      <c r="A137" s="1" t="s">
        <v>266</v>
      </c>
      <c r="B137" s="20" t="s">
        <v>267</v>
      </c>
      <c r="C137" s="8">
        <v>0</v>
      </c>
    </row>
    <row r="138" spans="1:3" x14ac:dyDescent="0.25">
      <c r="A138" s="1" t="s">
        <v>268</v>
      </c>
      <c r="B138" s="20" t="s">
        <v>269</v>
      </c>
      <c r="C138" s="8">
        <v>0.67796610169491522</v>
      </c>
    </row>
    <row r="139" spans="1:3" x14ac:dyDescent="0.25">
      <c r="A139" s="1" t="s">
        <v>270</v>
      </c>
      <c r="B139" s="20" t="s">
        <v>271</v>
      </c>
      <c r="C139" s="8">
        <v>1</v>
      </c>
    </row>
    <row r="140" spans="1:3" x14ac:dyDescent="0.25">
      <c r="A140" s="1" t="s">
        <v>272</v>
      </c>
      <c r="B140" s="20" t="s">
        <v>273</v>
      </c>
      <c r="C140" s="8">
        <v>4.4350282485875706E-2</v>
      </c>
    </row>
    <row r="141" spans="1:3" x14ac:dyDescent="0.25">
      <c r="A141" s="1" t="s">
        <v>274</v>
      </c>
      <c r="B141" s="20" t="s">
        <v>275</v>
      </c>
      <c r="C141" s="8">
        <v>0.67796610169491522</v>
      </c>
    </row>
    <row r="142" spans="1:3" x14ac:dyDescent="0.25">
      <c r="A142" s="1" t="s">
        <v>276</v>
      </c>
      <c r="B142" s="20" t="s">
        <v>277</v>
      </c>
      <c r="C142" s="8">
        <v>0</v>
      </c>
    </row>
    <row r="143" spans="1:3" x14ac:dyDescent="0.25">
      <c r="A143" s="1" t="s">
        <v>278</v>
      </c>
      <c r="B143" s="20" t="s">
        <v>279</v>
      </c>
      <c r="C143" s="8">
        <v>0.92125984251968496</v>
      </c>
    </row>
    <row r="144" spans="1:3" x14ac:dyDescent="0.25">
      <c r="A144" s="1" t="s">
        <v>280</v>
      </c>
      <c r="B144" s="20" t="s">
        <v>281</v>
      </c>
      <c r="C144" s="8">
        <v>0.80314960629921262</v>
      </c>
    </row>
    <row r="145" spans="1:3" x14ac:dyDescent="0.25">
      <c r="A145" s="1" t="s">
        <v>282</v>
      </c>
      <c r="B145" s="20" t="s">
        <v>283</v>
      </c>
      <c r="C145" s="8">
        <v>0.18110236220472442</v>
      </c>
    </row>
    <row r="146" spans="1:3" x14ac:dyDescent="0.25">
      <c r="A146" s="1" t="s">
        <v>284</v>
      </c>
      <c r="B146" s="20" t="s">
        <v>285</v>
      </c>
      <c r="C146" s="8">
        <v>0</v>
      </c>
    </row>
    <row r="147" spans="1:3" x14ac:dyDescent="0.25">
      <c r="A147" s="1" t="s">
        <v>286</v>
      </c>
      <c r="B147" s="20" t="s">
        <v>287</v>
      </c>
      <c r="C147" s="8">
        <v>0.64566929133858264</v>
      </c>
    </row>
    <row r="148" spans="1:3" x14ac:dyDescent="0.25">
      <c r="A148" s="1" t="s">
        <v>288</v>
      </c>
      <c r="B148" s="20" t="s">
        <v>289</v>
      </c>
      <c r="C148" s="8">
        <v>0.80314960629921262</v>
      </c>
    </row>
    <row r="149" spans="1:3" x14ac:dyDescent="0.25">
      <c r="A149" s="1" t="s">
        <v>290</v>
      </c>
      <c r="B149" s="20" t="s">
        <v>291</v>
      </c>
      <c r="C149" s="8">
        <v>0</v>
      </c>
    </row>
    <row r="150" spans="1:3" x14ac:dyDescent="0.25">
      <c r="A150" s="1" t="s">
        <v>292</v>
      </c>
      <c r="B150" s="20" t="s">
        <v>287</v>
      </c>
      <c r="C150" s="8">
        <v>0.66929133858267709</v>
      </c>
    </row>
    <row r="151" spans="1:3" x14ac:dyDescent="0.25">
      <c r="A151" s="1" t="s">
        <v>293</v>
      </c>
      <c r="B151" s="20" t="s">
        <v>289</v>
      </c>
      <c r="C151" s="8">
        <v>1</v>
      </c>
    </row>
    <row r="152" spans="1:3" x14ac:dyDescent="0.25">
      <c r="A152" s="1" t="s">
        <v>294</v>
      </c>
      <c r="B152" s="20" t="s">
        <v>295</v>
      </c>
      <c r="C152" s="8">
        <v>0.39370078740157477</v>
      </c>
    </row>
    <row r="153" spans="1:3" x14ac:dyDescent="0.25">
      <c r="A153" s="1" t="s">
        <v>296</v>
      </c>
      <c r="B153" s="20" t="s">
        <v>297</v>
      </c>
      <c r="C153" s="8">
        <v>0.85039370078740162</v>
      </c>
    </row>
    <row r="154" spans="1:3" x14ac:dyDescent="0.25">
      <c r="A154" s="1" t="s">
        <v>298</v>
      </c>
      <c r="B154" s="20" t="s">
        <v>299</v>
      </c>
      <c r="C154" s="8">
        <v>0</v>
      </c>
    </row>
    <row r="155" spans="1:3" x14ac:dyDescent="0.25">
      <c r="A155" s="1" t="s">
        <v>300</v>
      </c>
      <c r="B155" s="20" t="s">
        <v>301</v>
      </c>
      <c r="C155" s="8">
        <v>0</v>
      </c>
    </row>
    <row r="156" spans="1:3" x14ac:dyDescent="0.25">
      <c r="A156" s="1" t="s">
        <v>302</v>
      </c>
      <c r="B156" s="20" t="s">
        <v>303</v>
      </c>
      <c r="C156" s="8">
        <v>0.21459854014598542</v>
      </c>
    </row>
    <row r="157" spans="1:3" x14ac:dyDescent="0.25">
      <c r="A157" s="1" t="s">
        <v>304</v>
      </c>
      <c r="B157" s="20" t="s">
        <v>305</v>
      </c>
      <c r="C157" s="8">
        <v>0.27007299270072993</v>
      </c>
    </row>
    <row r="158" spans="1:3" x14ac:dyDescent="0.25">
      <c r="A158" s="1" t="s">
        <v>306</v>
      </c>
      <c r="B158" s="20" t="s">
        <v>307</v>
      </c>
      <c r="C158" s="8">
        <v>0.41605839416058399</v>
      </c>
    </row>
    <row r="159" spans="1:3" x14ac:dyDescent="0.25">
      <c r="A159" s="1" t="s">
        <v>308</v>
      </c>
      <c r="B159" s="20" t="s">
        <v>309</v>
      </c>
      <c r="C159" s="8">
        <v>0.56204379562043805</v>
      </c>
    </row>
    <row r="160" spans="1:3" x14ac:dyDescent="0.25">
      <c r="A160" s="1" t="s">
        <v>310</v>
      </c>
      <c r="B160" s="20" t="s">
        <v>311</v>
      </c>
      <c r="C160" s="8">
        <v>0.70802919708029199</v>
      </c>
    </row>
    <row r="161" spans="1:3" x14ac:dyDescent="0.25">
      <c r="A161" s="1" t="s">
        <v>312</v>
      </c>
      <c r="B161" s="20" t="s">
        <v>289</v>
      </c>
      <c r="C161" s="8">
        <v>0.85401459854014594</v>
      </c>
    </row>
    <row r="162" spans="1:3" x14ac:dyDescent="0.25">
      <c r="A162" s="1" t="s">
        <v>313</v>
      </c>
      <c r="B162" s="20" t="s">
        <v>314</v>
      </c>
      <c r="C162" s="8">
        <v>0</v>
      </c>
    </row>
    <row r="163" spans="1:3" x14ac:dyDescent="0.25">
      <c r="A163" s="1" t="s">
        <v>315</v>
      </c>
      <c r="B163" s="20" t="s">
        <v>316</v>
      </c>
      <c r="C163" s="8">
        <v>0.27007299270072993</v>
      </c>
    </row>
    <row r="164" spans="1:3" x14ac:dyDescent="0.25">
      <c r="A164" s="1" t="s">
        <v>317</v>
      </c>
      <c r="B164" s="20" t="s">
        <v>318</v>
      </c>
      <c r="C164" s="8">
        <v>0.41605839416058399</v>
      </c>
    </row>
    <row r="165" spans="1:3" x14ac:dyDescent="0.25">
      <c r="A165" s="1" t="s">
        <v>319</v>
      </c>
      <c r="B165" s="20" t="s">
        <v>320</v>
      </c>
      <c r="C165" s="8">
        <v>0.56204379562043805</v>
      </c>
    </row>
    <row r="166" spans="1:3" x14ac:dyDescent="0.25">
      <c r="A166" s="1" t="s">
        <v>321</v>
      </c>
      <c r="B166" s="20" t="s">
        <v>322</v>
      </c>
      <c r="C166" s="8">
        <v>0.70802919708029199</v>
      </c>
    </row>
    <row r="167" spans="1:3" x14ac:dyDescent="0.25">
      <c r="A167" s="1" t="s">
        <v>323</v>
      </c>
      <c r="B167" s="20" t="s">
        <v>289</v>
      </c>
      <c r="C167" s="8">
        <v>1</v>
      </c>
    </row>
    <row r="168" spans="1:3" x14ac:dyDescent="0.25">
      <c r="A168" s="1" t="s">
        <v>324</v>
      </c>
      <c r="B168" s="20" t="s">
        <v>325</v>
      </c>
      <c r="C168" s="8">
        <v>0</v>
      </c>
    </row>
    <row r="169" spans="1:3" x14ac:dyDescent="0.25">
      <c r="A169" s="1" t="s">
        <v>326</v>
      </c>
      <c r="B169" s="20" t="s">
        <v>327</v>
      </c>
      <c r="C169" s="8">
        <v>1</v>
      </c>
    </row>
    <row r="170" spans="1:3" x14ac:dyDescent="0.25">
      <c r="A170" s="1" t="s">
        <v>328</v>
      </c>
      <c r="B170" s="20" t="s">
        <v>329</v>
      </c>
      <c r="C170" s="8">
        <v>0</v>
      </c>
    </row>
    <row r="171" spans="1:3" x14ac:dyDescent="0.25">
      <c r="A171" s="1" t="s">
        <v>330</v>
      </c>
      <c r="B171" s="20" t="s">
        <v>331</v>
      </c>
      <c r="C171" s="8">
        <v>1</v>
      </c>
    </row>
    <row r="172" spans="1:3" x14ac:dyDescent="0.25">
      <c r="A172" s="1" t="s">
        <v>332</v>
      </c>
      <c r="B172" s="20" t="s">
        <v>333</v>
      </c>
      <c r="C172" s="8">
        <v>0</v>
      </c>
    </row>
    <row r="173" spans="1:3" x14ac:dyDescent="0.25">
      <c r="A173" s="1" t="s">
        <v>334</v>
      </c>
      <c r="B173" s="20" t="s">
        <v>335</v>
      </c>
      <c r="C173" s="8">
        <v>1</v>
      </c>
    </row>
    <row r="174" spans="1:3" x14ac:dyDescent="0.25">
      <c r="A174" s="1" t="s">
        <v>336</v>
      </c>
      <c r="B174" s="20" t="s">
        <v>337</v>
      </c>
      <c r="C174" s="8">
        <v>0</v>
      </c>
    </row>
    <row r="175" spans="1:3" x14ac:dyDescent="0.25">
      <c r="A175" s="1" t="s">
        <v>338</v>
      </c>
      <c r="B175" s="20" t="s">
        <v>339</v>
      </c>
      <c r="C175" s="8">
        <v>0.829059829059829</v>
      </c>
    </row>
    <row r="176" spans="1:3" x14ac:dyDescent="0.25">
      <c r="A176" s="1" t="s">
        <v>340</v>
      </c>
      <c r="B176" s="20" t="s">
        <v>341</v>
      </c>
      <c r="C176" s="8">
        <v>1</v>
      </c>
    </row>
    <row r="177" spans="1:13" x14ac:dyDescent="0.25">
      <c r="A177" s="17"/>
      <c r="B177" s="80"/>
      <c r="C177" s="19"/>
    </row>
    <row r="178" spans="1:13" x14ac:dyDescent="0.25">
      <c r="A178" s="17"/>
      <c r="B178" s="80"/>
      <c r="C178" s="19"/>
    </row>
    <row r="180" spans="1:13" ht="30" customHeight="1" x14ac:dyDescent="0.25">
      <c r="A180" s="169" t="s">
        <v>342</v>
      </c>
      <c r="B180" s="169"/>
      <c r="C180" s="169"/>
      <c r="D180" s="169"/>
      <c r="E180" s="169"/>
      <c r="F180" s="169"/>
      <c r="G180" s="169"/>
      <c r="H180" s="169"/>
      <c r="I180" s="169"/>
      <c r="J180" s="169"/>
      <c r="K180" s="169"/>
      <c r="L180" s="169"/>
      <c r="M180" s="169"/>
    </row>
    <row r="181" spans="1:13" ht="30" customHeight="1" x14ac:dyDescent="0.25">
      <c r="A181" s="168" t="s">
        <v>0</v>
      </c>
      <c r="B181" s="170" t="s">
        <v>17</v>
      </c>
      <c r="C181" s="170" t="s">
        <v>343</v>
      </c>
      <c r="D181" s="168" t="s">
        <v>1</v>
      </c>
      <c r="E181" s="168"/>
      <c r="F181" s="168"/>
      <c r="G181" s="168"/>
      <c r="H181" s="168"/>
      <c r="I181" s="168"/>
      <c r="J181" s="168"/>
      <c r="K181" s="168"/>
      <c r="L181" s="168"/>
      <c r="M181" s="168"/>
    </row>
    <row r="182" spans="1:13" s="17" customFormat="1" x14ac:dyDescent="0.25">
      <c r="A182" s="168"/>
      <c r="B182" s="170"/>
      <c r="C182" s="170"/>
      <c r="D182" s="1">
        <v>1</v>
      </c>
      <c r="E182" s="1">
        <v>2</v>
      </c>
      <c r="F182" s="1">
        <v>3</v>
      </c>
      <c r="G182" s="1">
        <v>4</v>
      </c>
      <c r="H182" s="1">
        <v>5</v>
      </c>
      <c r="I182" s="1">
        <v>6</v>
      </c>
      <c r="J182" s="1">
        <v>7</v>
      </c>
      <c r="K182" s="1">
        <v>8</v>
      </c>
      <c r="L182" s="1">
        <v>9</v>
      </c>
      <c r="M182" s="1">
        <v>10</v>
      </c>
    </row>
    <row r="183" spans="1:13" s="17" customFormat="1" ht="30" customHeight="1" x14ac:dyDescent="0.25">
      <c r="A183" s="3">
        <v>1</v>
      </c>
      <c r="B183" s="21" t="s">
        <v>344</v>
      </c>
      <c r="C183" s="2" t="s">
        <v>345</v>
      </c>
      <c r="D183" s="22">
        <v>28400</v>
      </c>
      <c r="E183" s="22" t="s">
        <v>11</v>
      </c>
      <c r="F183" s="22" t="s">
        <v>11</v>
      </c>
      <c r="G183" s="22" t="s">
        <v>11</v>
      </c>
      <c r="H183" s="22" t="s">
        <v>11</v>
      </c>
      <c r="I183" s="22" t="s">
        <v>11</v>
      </c>
      <c r="J183" s="22" t="s">
        <v>11</v>
      </c>
      <c r="K183" s="22" t="s">
        <v>11</v>
      </c>
      <c r="L183" s="22" t="s">
        <v>11</v>
      </c>
      <c r="M183" s="22" t="s">
        <v>11</v>
      </c>
    </row>
    <row r="184" spans="1:13" s="17" customFormat="1" ht="30" customHeight="1" x14ac:dyDescent="0.25">
      <c r="A184" s="3">
        <v>2</v>
      </c>
      <c r="B184" s="21" t="s">
        <v>346</v>
      </c>
      <c r="C184" s="2" t="s">
        <v>345</v>
      </c>
      <c r="D184" s="22">
        <v>22500</v>
      </c>
      <c r="E184" s="22" t="s">
        <v>11</v>
      </c>
      <c r="F184" s="22" t="s">
        <v>11</v>
      </c>
      <c r="G184" s="22" t="s">
        <v>11</v>
      </c>
      <c r="H184" s="22" t="s">
        <v>11</v>
      </c>
      <c r="I184" s="22" t="s">
        <v>11</v>
      </c>
      <c r="J184" s="22" t="s">
        <v>11</v>
      </c>
      <c r="K184" s="22" t="s">
        <v>11</v>
      </c>
      <c r="L184" s="22" t="s">
        <v>11</v>
      </c>
      <c r="M184" s="22" t="s">
        <v>11</v>
      </c>
    </row>
    <row r="185" spans="1:13" s="17" customFormat="1" ht="30" customHeight="1" x14ac:dyDescent="0.25">
      <c r="A185" s="3">
        <v>3</v>
      </c>
      <c r="B185" s="21" t="s">
        <v>347</v>
      </c>
      <c r="C185" s="2" t="s">
        <v>348</v>
      </c>
      <c r="D185" s="22">
        <v>20900</v>
      </c>
      <c r="E185" s="22" t="s">
        <v>11</v>
      </c>
      <c r="F185" s="22" t="s">
        <v>11</v>
      </c>
      <c r="G185" s="22" t="s">
        <v>11</v>
      </c>
      <c r="H185" s="22" t="s">
        <v>11</v>
      </c>
      <c r="I185" s="22" t="s">
        <v>11</v>
      </c>
      <c r="J185" s="22" t="s">
        <v>11</v>
      </c>
      <c r="K185" s="22" t="s">
        <v>11</v>
      </c>
      <c r="L185" s="22" t="s">
        <v>11</v>
      </c>
      <c r="M185" s="22" t="s">
        <v>11</v>
      </c>
    </row>
    <row r="186" spans="1:13" s="17" customFormat="1" ht="30" customHeight="1" x14ac:dyDescent="0.25">
      <c r="A186" s="3">
        <v>4</v>
      </c>
      <c r="B186" s="21" t="s">
        <v>349</v>
      </c>
      <c r="C186" s="2" t="s">
        <v>348</v>
      </c>
      <c r="D186" s="22">
        <v>12250</v>
      </c>
      <c r="E186" s="22" t="s">
        <v>11</v>
      </c>
      <c r="F186" s="22" t="s">
        <v>11</v>
      </c>
      <c r="G186" s="22" t="s">
        <v>11</v>
      </c>
      <c r="H186" s="22" t="s">
        <v>11</v>
      </c>
      <c r="I186" s="22" t="s">
        <v>11</v>
      </c>
      <c r="J186" s="22" t="s">
        <v>11</v>
      </c>
      <c r="K186" s="22" t="s">
        <v>11</v>
      </c>
      <c r="L186" s="22" t="s">
        <v>11</v>
      </c>
      <c r="M186" s="22" t="s">
        <v>11</v>
      </c>
    </row>
    <row r="187" spans="1:13" s="17" customFormat="1" ht="30" customHeight="1" x14ac:dyDescent="0.25">
      <c r="A187" s="3">
        <v>5</v>
      </c>
      <c r="B187" s="21" t="s">
        <v>350</v>
      </c>
      <c r="C187" s="2" t="s">
        <v>348</v>
      </c>
      <c r="D187" s="22" t="s">
        <v>11</v>
      </c>
      <c r="E187" s="22" t="s">
        <v>11</v>
      </c>
      <c r="F187" s="22" t="s">
        <v>11</v>
      </c>
      <c r="G187" s="22" t="s">
        <v>11</v>
      </c>
      <c r="H187" s="22" t="s">
        <v>11</v>
      </c>
      <c r="I187" s="22" t="s">
        <v>11</v>
      </c>
      <c r="J187" s="22" t="s">
        <v>11</v>
      </c>
      <c r="K187" s="22" t="s">
        <v>11</v>
      </c>
      <c r="L187" s="22" t="s">
        <v>11</v>
      </c>
      <c r="M187" s="22" t="s">
        <v>11</v>
      </c>
    </row>
    <row r="188" spans="1:13" s="17" customFormat="1" ht="30" customHeight="1" x14ac:dyDescent="0.25">
      <c r="A188" s="3">
        <v>6</v>
      </c>
      <c r="B188" s="21" t="s">
        <v>351</v>
      </c>
      <c r="C188" s="2" t="s">
        <v>352</v>
      </c>
      <c r="D188" s="22" t="s">
        <v>11</v>
      </c>
      <c r="E188" s="22" t="s">
        <v>11</v>
      </c>
      <c r="F188" s="22" t="s">
        <v>11</v>
      </c>
      <c r="G188" s="22" t="s">
        <v>11</v>
      </c>
      <c r="H188" s="22" t="s">
        <v>11</v>
      </c>
      <c r="I188" s="22" t="s">
        <v>11</v>
      </c>
      <c r="J188" s="22" t="s">
        <v>11</v>
      </c>
      <c r="K188" s="22" t="s">
        <v>11</v>
      </c>
      <c r="L188" s="22" t="s">
        <v>11</v>
      </c>
      <c r="M188" s="22" t="s">
        <v>11</v>
      </c>
    </row>
    <row r="189" spans="1:13" s="17" customFormat="1" ht="30" customHeight="1" x14ac:dyDescent="0.25">
      <c r="A189" s="3">
        <v>7</v>
      </c>
      <c r="B189" s="21" t="s">
        <v>353</v>
      </c>
      <c r="C189" s="2" t="s">
        <v>354</v>
      </c>
      <c r="D189" s="22">
        <v>85</v>
      </c>
      <c r="E189" s="22" t="s">
        <v>11</v>
      </c>
      <c r="F189" s="22" t="s">
        <v>11</v>
      </c>
      <c r="G189" s="22" t="s">
        <v>11</v>
      </c>
      <c r="H189" s="22" t="s">
        <v>11</v>
      </c>
      <c r="I189" s="22" t="s">
        <v>11</v>
      </c>
      <c r="J189" s="22" t="s">
        <v>11</v>
      </c>
      <c r="K189" s="22" t="s">
        <v>11</v>
      </c>
      <c r="L189" s="22" t="s">
        <v>11</v>
      </c>
      <c r="M189" s="22" t="s">
        <v>11</v>
      </c>
    </row>
    <row r="190" spans="1:13" s="17" customFormat="1" ht="30" customHeight="1" x14ac:dyDescent="0.25">
      <c r="A190" s="3">
        <v>8</v>
      </c>
      <c r="B190" s="21" t="s">
        <v>355</v>
      </c>
      <c r="C190" s="2" t="s">
        <v>345</v>
      </c>
      <c r="D190" s="22">
        <v>2000</v>
      </c>
      <c r="E190" s="22" t="s">
        <v>11</v>
      </c>
      <c r="F190" s="22" t="s">
        <v>11</v>
      </c>
      <c r="G190" s="22" t="s">
        <v>11</v>
      </c>
      <c r="H190" s="22" t="s">
        <v>11</v>
      </c>
      <c r="I190" s="22" t="s">
        <v>11</v>
      </c>
      <c r="J190" s="22" t="s">
        <v>11</v>
      </c>
      <c r="K190" s="22" t="s">
        <v>11</v>
      </c>
      <c r="L190" s="22" t="s">
        <v>11</v>
      </c>
      <c r="M190" s="22" t="s">
        <v>11</v>
      </c>
    </row>
    <row r="191" spans="1:13" s="17" customFormat="1" ht="30" customHeight="1" x14ac:dyDescent="0.25">
      <c r="A191" s="3">
        <v>9</v>
      </c>
      <c r="B191" s="21" t="s">
        <v>356</v>
      </c>
      <c r="C191" s="2" t="s">
        <v>357</v>
      </c>
      <c r="D191" s="22" t="s">
        <v>11</v>
      </c>
      <c r="E191" s="22" t="s">
        <v>11</v>
      </c>
      <c r="F191" s="22" t="s">
        <v>11</v>
      </c>
      <c r="G191" s="22" t="s">
        <v>11</v>
      </c>
      <c r="H191" s="22" t="s">
        <v>11</v>
      </c>
      <c r="I191" s="22" t="s">
        <v>11</v>
      </c>
      <c r="J191" s="22" t="s">
        <v>11</v>
      </c>
      <c r="K191" s="22" t="s">
        <v>11</v>
      </c>
      <c r="L191" s="22" t="s">
        <v>11</v>
      </c>
      <c r="M191" s="22" t="s">
        <v>11</v>
      </c>
    </row>
    <row r="192" spans="1:13" s="17" customFormat="1" ht="30" customHeight="1" x14ac:dyDescent="0.25">
      <c r="A192" s="3">
        <v>10</v>
      </c>
      <c r="B192" s="21" t="s">
        <v>358</v>
      </c>
      <c r="C192" s="2" t="s">
        <v>345</v>
      </c>
      <c r="D192" s="22">
        <v>220000</v>
      </c>
      <c r="E192" s="22" t="s">
        <v>11</v>
      </c>
      <c r="F192" s="22" t="s">
        <v>11</v>
      </c>
      <c r="G192" s="22" t="s">
        <v>11</v>
      </c>
      <c r="H192" s="22" t="s">
        <v>11</v>
      </c>
      <c r="I192" s="22" t="s">
        <v>11</v>
      </c>
      <c r="J192" s="22" t="s">
        <v>11</v>
      </c>
      <c r="K192" s="22" t="s">
        <v>11</v>
      </c>
      <c r="L192" s="22" t="s">
        <v>11</v>
      </c>
      <c r="M192" s="22" t="s">
        <v>11</v>
      </c>
    </row>
    <row r="193" spans="1:13" s="17" customFormat="1" ht="30" customHeight="1" x14ac:dyDescent="0.25">
      <c r="A193" s="3">
        <v>11</v>
      </c>
      <c r="B193" s="21" t="s">
        <v>359</v>
      </c>
      <c r="C193" s="2" t="s">
        <v>345</v>
      </c>
      <c r="D193" s="22">
        <v>17250</v>
      </c>
      <c r="E193" s="22" t="s">
        <v>11</v>
      </c>
      <c r="F193" s="22" t="s">
        <v>11</v>
      </c>
      <c r="G193" s="22" t="s">
        <v>11</v>
      </c>
      <c r="H193" s="22" t="s">
        <v>11</v>
      </c>
      <c r="I193" s="22" t="s">
        <v>11</v>
      </c>
      <c r="J193" s="22" t="s">
        <v>11</v>
      </c>
      <c r="K193" s="22" t="s">
        <v>11</v>
      </c>
      <c r="L193" s="22" t="s">
        <v>11</v>
      </c>
      <c r="M193" s="22" t="s">
        <v>11</v>
      </c>
    </row>
    <row r="194" spans="1:13" s="17" customFormat="1" ht="30" customHeight="1" x14ac:dyDescent="0.25">
      <c r="A194" s="3">
        <v>12</v>
      </c>
      <c r="B194" s="21" t="s">
        <v>360</v>
      </c>
      <c r="C194" s="2" t="s">
        <v>345</v>
      </c>
      <c r="D194" s="22">
        <v>10000</v>
      </c>
      <c r="E194" s="22" t="s">
        <v>11</v>
      </c>
      <c r="F194" s="22" t="s">
        <v>11</v>
      </c>
      <c r="G194" s="22" t="s">
        <v>11</v>
      </c>
      <c r="H194" s="22" t="s">
        <v>11</v>
      </c>
      <c r="I194" s="22" t="s">
        <v>11</v>
      </c>
      <c r="J194" s="22" t="s">
        <v>11</v>
      </c>
      <c r="K194" s="22" t="s">
        <v>11</v>
      </c>
      <c r="L194" s="22" t="s">
        <v>11</v>
      </c>
      <c r="M194" s="22" t="s">
        <v>11</v>
      </c>
    </row>
    <row r="195" spans="1:13" s="17" customFormat="1" ht="30" customHeight="1" x14ac:dyDescent="0.25">
      <c r="A195" s="3">
        <v>13</v>
      </c>
      <c r="B195" s="21" t="s">
        <v>361</v>
      </c>
      <c r="C195" s="2" t="s">
        <v>345</v>
      </c>
      <c r="D195" s="22">
        <v>22000</v>
      </c>
      <c r="E195" s="22" t="s">
        <v>11</v>
      </c>
      <c r="F195" s="22" t="s">
        <v>11</v>
      </c>
      <c r="G195" s="22" t="s">
        <v>11</v>
      </c>
      <c r="H195" s="22" t="s">
        <v>11</v>
      </c>
      <c r="I195" s="22" t="s">
        <v>11</v>
      </c>
      <c r="J195" s="22" t="s">
        <v>11</v>
      </c>
      <c r="K195" s="22" t="s">
        <v>11</v>
      </c>
      <c r="L195" s="22" t="s">
        <v>11</v>
      </c>
      <c r="M195" s="22" t="s">
        <v>11</v>
      </c>
    </row>
    <row r="196" spans="1:13" s="17" customFormat="1" ht="30" customHeight="1" x14ac:dyDescent="0.25">
      <c r="A196" s="3">
        <v>14</v>
      </c>
      <c r="B196" s="21" t="s">
        <v>362</v>
      </c>
      <c r="C196" s="2" t="s">
        <v>345</v>
      </c>
      <c r="D196" s="22">
        <v>645000</v>
      </c>
      <c r="E196" s="22" t="s">
        <v>11</v>
      </c>
      <c r="F196" s="22" t="s">
        <v>11</v>
      </c>
      <c r="G196" s="22" t="s">
        <v>11</v>
      </c>
      <c r="H196" s="22" t="s">
        <v>11</v>
      </c>
      <c r="I196" s="22" t="s">
        <v>11</v>
      </c>
      <c r="J196" s="22" t="s">
        <v>11</v>
      </c>
      <c r="K196" s="22" t="s">
        <v>11</v>
      </c>
      <c r="L196" s="22" t="s">
        <v>11</v>
      </c>
      <c r="M196" s="22" t="s">
        <v>11</v>
      </c>
    </row>
    <row r="197" spans="1:13" s="17" customFormat="1" ht="30" customHeight="1" x14ac:dyDescent="0.25">
      <c r="A197" s="3">
        <v>15</v>
      </c>
      <c r="B197" s="21" t="s">
        <v>363</v>
      </c>
      <c r="C197" s="2" t="s">
        <v>364</v>
      </c>
      <c r="D197" s="22" t="s">
        <v>11</v>
      </c>
      <c r="E197" s="22" t="s">
        <v>11</v>
      </c>
      <c r="F197" s="22" t="s">
        <v>11</v>
      </c>
      <c r="G197" s="22" t="s">
        <v>11</v>
      </c>
      <c r="H197" s="22" t="s">
        <v>11</v>
      </c>
      <c r="I197" s="22" t="s">
        <v>11</v>
      </c>
      <c r="J197" s="22" t="s">
        <v>11</v>
      </c>
      <c r="K197" s="22" t="s">
        <v>11</v>
      </c>
      <c r="L197" s="22" t="s">
        <v>11</v>
      </c>
      <c r="M197" s="22" t="s">
        <v>11</v>
      </c>
    </row>
    <row r="198" spans="1:13" s="17" customFormat="1" ht="30" customHeight="1" x14ac:dyDescent="0.25">
      <c r="A198" s="3">
        <v>16</v>
      </c>
      <c r="B198" s="21" t="s">
        <v>365</v>
      </c>
      <c r="C198" s="2" t="s">
        <v>366</v>
      </c>
      <c r="D198" s="22">
        <v>440</v>
      </c>
      <c r="E198" s="22" t="s">
        <v>11</v>
      </c>
      <c r="F198" s="22" t="s">
        <v>11</v>
      </c>
      <c r="G198" s="22" t="s">
        <v>11</v>
      </c>
      <c r="H198" s="22" t="s">
        <v>11</v>
      </c>
      <c r="I198" s="22" t="s">
        <v>11</v>
      </c>
      <c r="J198" s="22" t="s">
        <v>11</v>
      </c>
      <c r="K198" s="22" t="s">
        <v>11</v>
      </c>
      <c r="L198" s="22" t="s">
        <v>11</v>
      </c>
      <c r="M198" s="22" t="s">
        <v>11</v>
      </c>
    </row>
    <row r="199" spans="1:13" s="17" customFormat="1" ht="30" customHeight="1" x14ac:dyDescent="0.25">
      <c r="A199" s="3">
        <v>17</v>
      </c>
      <c r="B199" s="21" t="s">
        <v>367</v>
      </c>
      <c r="C199" s="2" t="s">
        <v>366</v>
      </c>
      <c r="D199" s="22">
        <v>270</v>
      </c>
      <c r="E199" s="22" t="s">
        <v>11</v>
      </c>
      <c r="F199" s="22" t="s">
        <v>11</v>
      </c>
      <c r="G199" s="22" t="s">
        <v>11</v>
      </c>
      <c r="H199" s="22" t="s">
        <v>11</v>
      </c>
      <c r="I199" s="22" t="s">
        <v>11</v>
      </c>
      <c r="J199" s="22" t="s">
        <v>11</v>
      </c>
      <c r="K199" s="22" t="s">
        <v>11</v>
      </c>
      <c r="L199" s="22" t="s">
        <v>11</v>
      </c>
      <c r="M199" s="22" t="s">
        <v>11</v>
      </c>
    </row>
    <row r="200" spans="1:13" s="17" customFormat="1" ht="30" customHeight="1" x14ac:dyDescent="0.25">
      <c r="A200" s="3">
        <v>18</v>
      </c>
      <c r="B200" s="21" t="s">
        <v>368</v>
      </c>
      <c r="C200" s="2" t="s">
        <v>366</v>
      </c>
      <c r="D200" s="22" t="s">
        <v>11</v>
      </c>
      <c r="E200" s="22" t="s">
        <v>11</v>
      </c>
      <c r="F200" s="22" t="s">
        <v>11</v>
      </c>
      <c r="G200" s="22" t="s">
        <v>11</v>
      </c>
      <c r="H200" s="22" t="s">
        <v>11</v>
      </c>
      <c r="I200" s="22" t="s">
        <v>11</v>
      </c>
      <c r="J200" s="22" t="s">
        <v>11</v>
      </c>
      <c r="K200" s="22" t="s">
        <v>11</v>
      </c>
      <c r="L200" s="22" t="s">
        <v>11</v>
      </c>
      <c r="M200" s="22" t="s">
        <v>11</v>
      </c>
    </row>
    <row r="201" spans="1:13" s="17" customFormat="1" ht="30" customHeight="1" x14ac:dyDescent="0.25">
      <c r="A201" s="3">
        <v>19</v>
      </c>
      <c r="B201" s="21" t="s">
        <v>369</v>
      </c>
      <c r="C201" s="2" t="s">
        <v>366</v>
      </c>
      <c r="D201" s="22">
        <v>15.5</v>
      </c>
      <c r="E201" s="22" t="s">
        <v>11</v>
      </c>
      <c r="F201" s="22" t="s">
        <v>11</v>
      </c>
      <c r="G201" s="22" t="s">
        <v>11</v>
      </c>
      <c r="H201" s="22" t="s">
        <v>11</v>
      </c>
      <c r="I201" s="22" t="s">
        <v>11</v>
      </c>
      <c r="J201" s="22" t="s">
        <v>11</v>
      </c>
      <c r="K201" s="22" t="s">
        <v>11</v>
      </c>
      <c r="L201" s="22" t="s">
        <v>11</v>
      </c>
      <c r="M201" s="22" t="s">
        <v>11</v>
      </c>
    </row>
    <row r="202" spans="1:13" s="17" customFormat="1" ht="30" customHeight="1" x14ac:dyDescent="0.25">
      <c r="A202" s="3">
        <v>20</v>
      </c>
      <c r="B202" s="21" t="s">
        <v>370</v>
      </c>
      <c r="C202" s="2" t="s">
        <v>366</v>
      </c>
      <c r="D202" s="22">
        <v>14</v>
      </c>
      <c r="E202" s="22" t="s">
        <v>11</v>
      </c>
      <c r="F202" s="22" t="s">
        <v>11</v>
      </c>
      <c r="G202" s="22" t="s">
        <v>11</v>
      </c>
      <c r="H202" s="22" t="s">
        <v>11</v>
      </c>
      <c r="I202" s="22" t="s">
        <v>11</v>
      </c>
      <c r="J202" s="22" t="s">
        <v>11</v>
      </c>
      <c r="K202" s="22" t="s">
        <v>11</v>
      </c>
      <c r="L202" s="22" t="s">
        <v>11</v>
      </c>
      <c r="M202" s="22" t="s">
        <v>11</v>
      </c>
    </row>
    <row r="203" spans="1:13" s="17" customFormat="1" ht="30" customHeight="1" x14ac:dyDescent="0.25">
      <c r="A203" s="3">
        <v>21</v>
      </c>
      <c r="B203" s="21" t="s">
        <v>371</v>
      </c>
      <c r="C203" s="2" t="s">
        <v>372</v>
      </c>
      <c r="D203" s="22">
        <v>22000</v>
      </c>
      <c r="E203" s="22" t="s">
        <v>11</v>
      </c>
      <c r="F203" s="22" t="s">
        <v>11</v>
      </c>
      <c r="G203" s="22" t="s">
        <v>11</v>
      </c>
      <c r="H203" s="22" t="s">
        <v>11</v>
      </c>
      <c r="I203" s="22" t="s">
        <v>11</v>
      </c>
      <c r="J203" s="22" t="s">
        <v>11</v>
      </c>
      <c r="K203" s="22" t="s">
        <v>11</v>
      </c>
      <c r="L203" s="22" t="s">
        <v>11</v>
      </c>
      <c r="M203" s="22" t="s">
        <v>11</v>
      </c>
    </row>
    <row r="204" spans="1:13" s="17" customFormat="1" ht="30" customHeight="1" x14ac:dyDescent="0.25">
      <c r="A204" s="3">
        <v>22</v>
      </c>
      <c r="B204" s="21" t="s">
        <v>373</v>
      </c>
      <c r="C204" s="2" t="s">
        <v>352</v>
      </c>
      <c r="D204" s="22">
        <v>142</v>
      </c>
      <c r="E204" s="22" t="s">
        <v>11</v>
      </c>
      <c r="F204" s="22" t="s">
        <v>11</v>
      </c>
      <c r="G204" s="22" t="s">
        <v>11</v>
      </c>
      <c r="H204" s="22" t="s">
        <v>11</v>
      </c>
      <c r="I204" s="22" t="s">
        <v>11</v>
      </c>
      <c r="J204" s="22" t="s">
        <v>11</v>
      </c>
      <c r="K204" s="22" t="s">
        <v>11</v>
      </c>
      <c r="L204" s="22" t="s">
        <v>11</v>
      </c>
      <c r="M204" s="22" t="s">
        <v>11</v>
      </c>
    </row>
    <row r="205" spans="1:13" s="17" customFormat="1" ht="30" customHeight="1" x14ac:dyDescent="0.25">
      <c r="A205" s="3">
        <v>23</v>
      </c>
      <c r="B205" s="21" t="s">
        <v>374</v>
      </c>
      <c r="C205" s="2" t="s">
        <v>372</v>
      </c>
      <c r="D205" s="22">
        <v>280000</v>
      </c>
      <c r="E205" s="22" t="s">
        <v>11</v>
      </c>
      <c r="F205" s="22" t="s">
        <v>11</v>
      </c>
      <c r="G205" s="22" t="s">
        <v>11</v>
      </c>
      <c r="H205" s="22" t="s">
        <v>11</v>
      </c>
      <c r="I205" s="22" t="s">
        <v>11</v>
      </c>
      <c r="J205" s="22" t="s">
        <v>11</v>
      </c>
      <c r="K205" s="22" t="s">
        <v>11</v>
      </c>
      <c r="L205" s="22" t="s">
        <v>11</v>
      </c>
      <c r="M205" s="22" t="s">
        <v>11</v>
      </c>
    </row>
    <row r="206" spans="1:13" s="17" customFormat="1" ht="30" customHeight="1" x14ac:dyDescent="0.25">
      <c r="A206" s="3">
        <v>24</v>
      </c>
      <c r="B206" s="21" t="s">
        <v>375</v>
      </c>
      <c r="C206" s="2" t="s">
        <v>372</v>
      </c>
      <c r="D206" s="22">
        <v>133000</v>
      </c>
      <c r="E206" s="22" t="s">
        <v>11</v>
      </c>
      <c r="F206" s="22" t="s">
        <v>11</v>
      </c>
      <c r="G206" s="22" t="s">
        <v>11</v>
      </c>
      <c r="H206" s="22" t="s">
        <v>11</v>
      </c>
      <c r="I206" s="22" t="s">
        <v>11</v>
      </c>
      <c r="J206" s="22" t="s">
        <v>11</v>
      </c>
      <c r="K206" s="22" t="s">
        <v>11</v>
      </c>
      <c r="L206" s="22" t="s">
        <v>11</v>
      </c>
      <c r="M206" s="22" t="s">
        <v>11</v>
      </c>
    </row>
    <row r="207" spans="1:13" s="17" customFormat="1" ht="30" customHeight="1" x14ac:dyDescent="0.25">
      <c r="A207" s="3">
        <v>25</v>
      </c>
      <c r="B207" s="21" t="s">
        <v>376</v>
      </c>
      <c r="C207" s="2" t="s">
        <v>372</v>
      </c>
      <c r="D207" s="22">
        <v>5000</v>
      </c>
      <c r="E207" s="22" t="s">
        <v>11</v>
      </c>
      <c r="F207" s="22" t="s">
        <v>11</v>
      </c>
      <c r="G207" s="22" t="s">
        <v>11</v>
      </c>
      <c r="H207" s="22" t="s">
        <v>11</v>
      </c>
      <c r="I207" s="22" t="s">
        <v>11</v>
      </c>
      <c r="J207" s="22" t="s">
        <v>11</v>
      </c>
      <c r="K207" s="22" t="s">
        <v>11</v>
      </c>
      <c r="L207" s="22" t="s">
        <v>11</v>
      </c>
      <c r="M207" s="22" t="s">
        <v>11</v>
      </c>
    </row>
    <row r="208" spans="1:13" s="17" customFormat="1" ht="30" customHeight="1" x14ac:dyDescent="0.25">
      <c r="A208" s="3">
        <v>26</v>
      </c>
      <c r="B208" s="21" t="s">
        <v>377</v>
      </c>
      <c r="C208" s="2" t="s">
        <v>378</v>
      </c>
      <c r="D208" s="22" t="s">
        <v>11</v>
      </c>
      <c r="E208" s="22" t="s">
        <v>11</v>
      </c>
      <c r="F208" s="22" t="s">
        <v>11</v>
      </c>
      <c r="G208" s="22" t="s">
        <v>11</v>
      </c>
      <c r="H208" s="22" t="s">
        <v>11</v>
      </c>
      <c r="I208" s="22" t="s">
        <v>11</v>
      </c>
      <c r="J208" s="22" t="s">
        <v>11</v>
      </c>
      <c r="K208" s="22" t="s">
        <v>11</v>
      </c>
      <c r="L208" s="22" t="s">
        <v>11</v>
      </c>
      <c r="M208" s="22" t="s">
        <v>11</v>
      </c>
    </row>
    <row r="209" spans="1:13" s="17" customFormat="1" ht="30" customHeight="1" x14ac:dyDescent="0.25">
      <c r="A209" s="3">
        <v>27</v>
      </c>
      <c r="B209" s="21" t="s">
        <v>379</v>
      </c>
      <c r="C209" s="2" t="s">
        <v>380</v>
      </c>
      <c r="D209" s="22" t="s">
        <v>11</v>
      </c>
      <c r="E209" s="22" t="s">
        <v>11</v>
      </c>
      <c r="F209" s="22" t="s">
        <v>11</v>
      </c>
      <c r="G209" s="22" t="s">
        <v>11</v>
      </c>
      <c r="H209" s="22" t="s">
        <v>11</v>
      </c>
      <c r="I209" s="22" t="s">
        <v>11</v>
      </c>
      <c r="J209" s="22" t="s">
        <v>11</v>
      </c>
      <c r="K209" s="22" t="s">
        <v>11</v>
      </c>
      <c r="L209" s="22" t="s">
        <v>11</v>
      </c>
      <c r="M209" s="22" t="s">
        <v>11</v>
      </c>
    </row>
    <row r="210" spans="1:13" s="17" customFormat="1" ht="30" customHeight="1" x14ac:dyDescent="0.25">
      <c r="A210" s="3">
        <v>28</v>
      </c>
      <c r="B210" s="21" t="s">
        <v>381</v>
      </c>
      <c r="C210" s="2" t="s">
        <v>372</v>
      </c>
      <c r="D210" s="22">
        <v>40000</v>
      </c>
      <c r="E210" s="22" t="s">
        <v>11</v>
      </c>
      <c r="F210" s="22" t="s">
        <v>11</v>
      </c>
      <c r="G210" s="22" t="s">
        <v>11</v>
      </c>
      <c r="H210" s="22" t="s">
        <v>11</v>
      </c>
      <c r="I210" s="22" t="s">
        <v>11</v>
      </c>
      <c r="J210" s="22" t="s">
        <v>11</v>
      </c>
      <c r="K210" s="22" t="s">
        <v>11</v>
      </c>
      <c r="L210" s="22" t="s">
        <v>11</v>
      </c>
      <c r="M210" s="22" t="s">
        <v>11</v>
      </c>
    </row>
    <row r="211" spans="1:13" s="17" customFormat="1" ht="30" customHeight="1" x14ac:dyDescent="0.25">
      <c r="A211" s="81"/>
      <c r="B211" s="82"/>
      <c r="C211" s="83"/>
      <c r="D211" s="84"/>
      <c r="E211" s="84"/>
      <c r="F211" s="84"/>
      <c r="G211" s="84"/>
      <c r="H211" s="84"/>
      <c r="I211" s="84"/>
      <c r="J211" s="84"/>
      <c r="K211" s="84"/>
      <c r="L211" s="84"/>
      <c r="M211" s="84"/>
    </row>
    <row r="213" spans="1:13" ht="30" customHeight="1" x14ac:dyDescent="0.25">
      <c r="A213" s="169" t="s">
        <v>382</v>
      </c>
      <c r="B213" s="169"/>
      <c r="C213" s="169"/>
      <c r="D213" s="169"/>
      <c r="E213" s="169"/>
      <c r="F213" s="169"/>
      <c r="G213" s="169"/>
      <c r="H213" s="169"/>
      <c r="I213" s="169"/>
      <c r="J213" s="169"/>
      <c r="K213" s="169"/>
      <c r="L213" s="169"/>
      <c r="M213" s="169"/>
    </row>
    <row r="214" spans="1:13" ht="15" customHeight="1" x14ac:dyDescent="0.25">
      <c r="A214" s="170" t="s">
        <v>0</v>
      </c>
      <c r="B214" s="170" t="s">
        <v>17</v>
      </c>
      <c r="C214" s="170"/>
      <c r="D214" s="171" t="s">
        <v>1</v>
      </c>
      <c r="E214" s="171"/>
      <c r="F214" s="171"/>
      <c r="G214" s="171"/>
      <c r="H214" s="171"/>
      <c r="I214" s="171"/>
      <c r="J214" s="171"/>
      <c r="K214" s="171"/>
      <c r="L214" s="171"/>
      <c r="M214" s="171"/>
    </row>
    <row r="215" spans="1:13" s="17" customFormat="1" x14ac:dyDescent="0.25">
      <c r="A215" s="170"/>
      <c r="B215" s="170"/>
      <c r="C215" s="170"/>
      <c r="D215" s="1">
        <v>1</v>
      </c>
      <c r="E215" s="1">
        <v>2</v>
      </c>
      <c r="F215" s="1">
        <v>3</v>
      </c>
      <c r="G215" s="1">
        <v>4</v>
      </c>
      <c r="H215" s="1">
        <v>5</v>
      </c>
      <c r="I215" s="1">
        <v>6</v>
      </c>
      <c r="J215" s="1">
        <v>7</v>
      </c>
      <c r="K215" s="1">
        <v>8</v>
      </c>
      <c r="L215" s="1">
        <v>9</v>
      </c>
      <c r="M215" s="1">
        <v>10</v>
      </c>
    </row>
    <row r="216" spans="1:13" ht="30" customHeight="1" x14ac:dyDescent="0.25">
      <c r="A216" s="5">
        <v>1</v>
      </c>
      <c r="B216" s="166" t="s">
        <v>344</v>
      </c>
      <c r="C216" s="166"/>
      <c r="D216" s="4">
        <v>23004</v>
      </c>
      <c r="E216" s="4" t="s">
        <v>11</v>
      </c>
      <c r="F216" s="4" t="s">
        <v>11</v>
      </c>
      <c r="G216" s="4" t="s">
        <v>11</v>
      </c>
      <c r="H216" s="4" t="s">
        <v>11</v>
      </c>
      <c r="I216" s="4" t="s">
        <v>11</v>
      </c>
      <c r="J216" s="4" t="s">
        <v>11</v>
      </c>
      <c r="K216" s="4" t="s">
        <v>11</v>
      </c>
      <c r="L216" s="4" t="s">
        <v>11</v>
      </c>
      <c r="M216" s="4" t="s">
        <v>11</v>
      </c>
    </row>
    <row r="217" spans="1:13" s="18" customFormat="1" ht="30" customHeight="1" x14ac:dyDescent="0.25">
      <c r="A217" s="5">
        <v>2</v>
      </c>
      <c r="B217" s="166" t="s">
        <v>346</v>
      </c>
      <c r="C217" s="166"/>
      <c r="D217" s="4">
        <v>221625</v>
      </c>
      <c r="E217" s="4" t="s">
        <v>11</v>
      </c>
      <c r="F217" s="4" t="s">
        <v>11</v>
      </c>
      <c r="G217" s="4" t="s">
        <v>11</v>
      </c>
      <c r="H217" s="4" t="s">
        <v>11</v>
      </c>
      <c r="I217" s="4" t="s">
        <v>11</v>
      </c>
      <c r="J217" s="4" t="s">
        <v>11</v>
      </c>
      <c r="K217" s="4" t="s">
        <v>11</v>
      </c>
      <c r="L217" s="4" t="s">
        <v>11</v>
      </c>
      <c r="M217" s="4" t="s">
        <v>11</v>
      </c>
    </row>
    <row r="218" spans="1:13" ht="30" customHeight="1" x14ac:dyDescent="0.25">
      <c r="A218" s="5">
        <v>3</v>
      </c>
      <c r="B218" s="166" t="s">
        <v>347</v>
      </c>
      <c r="C218" s="166"/>
      <c r="D218" s="4">
        <v>39292</v>
      </c>
      <c r="E218" s="4" t="s">
        <v>11</v>
      </c>
      <c r="F218" s="4" t="s">
        <v>11</v>
      </c>
      <c r="G218" s="4" t="s">
        <v>11</v>
      </c>
      <c r="H218" s="4" t="s">
        <v>11</v>
      </c>
      <c r="I218" s="4" t="s">
        <v>11</v>
      </c>
      <c r="J218" s="4" t="s">
        <v>11</v>
      </c>
      <c r="K218" s="4" t="s">
        <v>11</v>
      </c>
      <c r="L218" s="4" t="s">
        <v>11</v>
      </c>
      <c r="M218" s="4" t="s">
        <v>11</v>
      </c>
    </row>
    <row r="219" spans="1:13" ht="30" customHeight="1" x14ac:dyDescent="0.25">
      <c r="A219" s="5">
        <v>4</v>
      </c>
      <c r="B219" s="166" t="s">
        <v>349</v>
      </c>
      <c r="C219" s="166"/>
      <c r="D219" s="4">
        <v>157412.5</v>
      </c>
      <c r="E219" s="4" t="s">
        <v>11</v>
      </c>
      <c r="F219" s="4" t="s">
        <v>11</v>
      </c>
      <c r="G219" s="4" t="s">
        <v>11</v>
      </c>
      <c r="H219" s="4" t="s">
        <v>11</v>
      </c>
      <c r="I219" s="4" t="s">
        <v>11</v>
      </c>
      <c r="J219" s="4" t="s">
        <v>11</v>
      </c>
      <c r="K219" s="4" t="s">
        <v>11</v>
      </c>
      <c r="L219" s="4" t="s">
        <v>11</v>
      </c>
      <c r="M219" s="4" t="s">
        <v>11</v>
      </c>
    </row>
    <row r="220" spans="1:13" ht="30" customHeight="1" x14ac:dyDescent="0.25">
      <c r="A220" s="5">
        <v>5</v>
      </c>
      <c r="B220" s="166" t="s">
        <v>350</v>
      </c>
      <c r="C220" s="166"/>
      <c r="D220" s="4" t="s">
        <v>11</v>
      </c>
      <c r="E220" s="4" t="s">
        <v>11</v>
      </c>
      <c r="F220" s="4" t="s">
        <v>11</v>
      </c>
      <c r="G220" s="4" t="s">
        <v>11</v>
      </c>
      <c r="H220" s="4" t="s">
        <v>11</v>
      </c>
      <c r="I220" s="4" t="s">
        <v>11</v>
      </c>
      <c r="J220" s="4" t="s">
        <v>11</v>
      </c>
      <c r="K220" s="4" t="s">
        <v>11</v>
      </c>
      <c r="L220" s="4" t="s">
        <v>11</v>
      </c>
      <c r="M220" s="4" t="s">
        <v>11</v>
      </c>
    </row>
    <row r="221" spans="1:13" ht="30" customHeight="1" x14ac:dyDescent="0.25">
      <c r="A221" s="5">
        <v>6</v>
      </c>
      <c r="B221" s="166" t="s">
        <v>351</v>
      </c>
      <c r="C221" s="166"/>
      <c r="D221" s="4" t="s">
        <v>11</v>
      </c>
      <c r="E221" s="4" t="s">
        <v>11</v>
      </c>
      <c r="F221" s="4" t="s">
        <v>11</v>
      </c>
      <c r="G221" s="4" t="s">
        <v>11</v>
      </c>
      <c r="H221" s="4" t="s">
        <v>11</v>
      </c>
      <c r="I221" s="4" t="s">
        <v>11</v>
      </c>
      <c r="J221" s="4" t="s">
        <v>11</v>
      </c>
      <c r="K221" s="4" t="s">
        <v>11</v>
      </c>
      <c r="L221" s="4" t="s">
        <v>11</v>
      </c>
      <c r="M221" s="4" t="s">
        <v>11</v>
      </c>
    </row>
    <row r="222" spans="1:13" ht="30" customHeight="1" x14ac:dyDescent="0.25">
      <c r="A222" s="5">
        <v>7</v>
      </c>
      <c r="B222" s="166" t="s">
        <v>353</v>
      </c>
      <c r="C222" s="166"/>
      <c r="D222" s="4">
        <v>76330</v>
      </c>
      <c r="E222" s="4" t="s">
        <v>11</v>
      </c>
      <c r="F222" s="4" t="s">
        <v>11</v>
      </c>
      <c r="G222" s="4" t="s">
        <v>11</v>
      </c>
      <c r="H222" s="4" t="s">
        <v>11</v>
      </c>
      <c r="I222" s="4" t="s">
        <v>11</v>
      </c>
      <c r="J222" s="4" t="s">
        <v>11</v>
      </c>
      <c r="K222" s="4" t="s">
        <v>11</v>
      </c>
      <c r="L222" s="4" t="s">
        <v>11</v>
      </c>
      <c r="M222" s="4" t="s">
        <v>11</v>
      </c>
    </row>
    <row r="223" spans="1:13" ht="30" customHeight="1" x14ac:dyDescent="0.25">
      <c r="A223" s="5">
        <v>8</v>
      </c>
      <c r="B223" s="166" t="s">
        <v>355</v>
      </c>
      <c r="C223" s="166"/>
      <c r="D223" s="4">
        <v>19800</v>
      </c>
      <c r="E223" s="4" t="s">
        <v>11</v>
      </c>
      <c r="F223" s="4" t="s">
        <v>11</v>
      </c>
      <c r="G223" s="4" t="s">
        <v>11</v>
      </c>
      <c r="H223" s="4" t="s">
        <v>11</v>
      </c>
      <c r="I223" s="4" t="s">
        <v>11</v>
      </c>
      <c r="J223" s="4" t="s">
        <v>11</v>
      </c>
      <c r="K223" s="4" t="s">
        <v>11</v>
      </c>
      <c r="L223" s="4" t="s">
        <v>11</v>
      </c>
      <c r="M223" s="4" t="s">
        <v>11</v>
      </c>
    </row>
    <row r="224" spans="1:13" ht="30" customHeight="1" x14ac:dyDescent="0.25">
      <c r="A224" s="5">
        <v>9</v>
      </c>
      <c r="B224" s="166" t="s">
        <v>356</v>
      </c>
      <c r="C224" s="166"/>
      <c r="D224" s="4" t="s">
        <v>11</v>
      </c>
      <c r="E224" s="4" t="s">
        <v>11</v>
      </c>
      <c r="F224" s="4" t="s">
        <v>11</v>
      </c>
      <c r="G224" s="4" t="s">
        <v>11</v>
      </c>
      <c r="H224" s="4" t="s">
        <v>11</v>
      </c>
      <c r="I224" s="4" t="s">
        <v>11</v>
      </c>
      <c r="J224" s="4" t="s">
        <v>11</v>
      </c>
      <c r="K224" s="4" t="s">
        <v>11</v>
      </c>
      <c r="L224" s="4" t="s">
        <v>11</v>
      </c>
      <c r="M224" s="4" t="s">
        <v>11</v>
      </c>
    </row>
    <row r="225" spans="1:13" ht="30" customHeight="1" x14ac:dyDescent="0.25">
      <c r="A225" s="5">
        <v>10</v>
      </c>
      <c r="B225" s="166" t="s">
        <v>358</v>
      </c>
      <c r="C225" s="166"/>
      <c r="D225" s="4">
        <v>345400</v>
      </c>
      <c r="E225" s="4" t="s">
        <v>11</v>
      </c>
      <c r="F225" s="4" t="s">
        <v>11</v>
      </c>
      <c r="G225" s="4" t="s">
        <v>11</v>
      </c>
      <c r="H225" s="4" t="s">
        <v>11</v>
      </c>
      <c r="I225" s="4" t="s">
        <v>11</v>
      </c>
      <c r="J225" s="4" t="s">
        <v>11</v>
      </c>
      <c r="K225" s="4" t="s">
        <v>11</v>
      </c>
      <c r="L225" s="4" t="s">
        <v>11</v>
      </c>
      <c r="M225" s="4" t="s">
        <v>11</v>
      </c>
    </row>
    <row r="226" spans="1:13" ht="30" customHeight="1" x14ac:dyDescent="0.25">
      <c r="A226" s="5">
        <v>11</v>
      </c>
      <c r="B226" s="166" t="s">
        <v>359</v>
      </c>
      <c r="C226" s="166"/>
      <c r="D226" s="4">
        <v>73657.5</v>
      </c>
      <c r="E226" s="4" t="s">
        <v>11</v>
      </c>
      <c r="F226" s="4" t="s">
        <v>11</v>
      </c>
      <c r="G226" s="4" t="s">
        <v>11</v>
      </c>
      <c r="H226" s="4" t="s">
        <v>11</v>
      </c>
      <c r="I226" s="4" t="s">
        <v>11</v>
      </c>
      <c r="J226" s="4" t="s">
        <v>11</v>
      </c>
      <c r="K226" s="4" t="s">
        <v>11</v>
      </c>
      <c r="L226" s="4" t="s">
        <v>11</v>
      </c>
      <c r="M226" s="4" t="s">
        <v>11</v>
      </c>
    </row>
    <row r="227" spans="1:13" ht="30" customHeight="1" x14ac:dyDescent="0.25">
      <c r="A227" s="5">
        <v>12</v>
      </c>
      <c r="B227" s="166" t="s">
        <v>360</v>
      </c>
      <c r="C227" s="166"/>
      <c r="D227" s="4">
        <v>34800</v>
      </c>
      <c r="E227" s="4" t="s">
        <v>11</v>
      </c>
      <c r="F227" s="4" t="s">
        <v>11</v>
      </c>
      <c r="G227" s="4" t="s">
        <v>11</v>
      </c>
      <c r="H227" s="4" t="s">
        <v>11</v>
      </c>
      <c r="I227" s="4" t="s">
        <v>11</v>
      </c>
      <c r="J227" s="4" t="s">
        <v>11</v>
      </c>
      <c r="K227" s="4" t="s">
        <v>11</v>
      </c>
      <c r="L227" s="4" t="s">
        <v>11</v>
      </c>
      <c r="M227" s="4" t="s">
        <v>11</v>
      </c>
    </row>
    <row r="228" spans="1:13" ht="30" customHeight="1" x14ac:dyDescent="0.25">
      <c r="A228" s="5">
        <v>13</v>
      </c>
      <c r="B228" s="166" t="s">
        <v>361</v>
      </c>
      <c r="C228" s="166"/>
      <c r="D228" s="4">
        <v>282700</v>
      </c>
      <c r="E228" s="4" t="s">
        <v>11</v>
      </c>
      <c r="F228" s="4" t="s">
        <v>11</v>
      </c>
      <c r="G228" s="4" t="s">
        <v>11</v>
      </c>
      <c r="H228" s="4" t="s">
        <v>11</v>
      </c>
      <c r="I228" s="4" t="s">
        <v>11</v>
      </c>
      <c r="J228" s="4" t="s">
        <v>11</v>
      </c>
      <c r="K228" s="4" t="s">
        <v>11</v>
      </c>
      <c r="L228" s="4" t="s">
        <v>11</v>
      </c>
      <c r="M228" s="4" t="s">
        <v>11</v>
      </c>
    </row>
    <row r="229" spans="1:13" ht="30" customHeight="1" x14ac:dyDescent="0.25">
      <c r="A229" s="5">
        <v>14</v>
      </c>
      <c r="B229" s="166" t="s">
        <v>362</v>
      </c>
      <c r="C229" s="166"/>
      <c r="D229" s="4">
        <v>6114600</v>
      </c>
      <c r="E229" s="4" t="s">
        <v>11</v>
      </c>
      <c r="F229" s="4" t="s">
        <v>11</v>
      </c>
      <c r="G229" s="4" t="s">
        <v>11</v>
      </c>
      <c r="H229" s="4" t="s">
        <v>11</v>
      </c>
      <c r="I229" s="4" t="s">
        <v>11</v>
      </c>
      <c r="J229" s="4" t="s">
        <v>11</v>
      </c>
      <c r="K229" s="4" t="s">
        <v>11</v>
      </c>
      <c r="L229" s="4" t="s">
        <v>11</v>
      </c>
      <c r="M229" s="4" t="s">
        <v>11</v>
      </c>
    </row>
    <row r="230" spans="1:13" ht="30" customHeight="1" x14ac:dyDescent="0.25">
      <c r="A230" s="5">
        <v>15</v>
      </c>
      <c r="B230" s="166" t="s">
        <v>363</v>
      </c>
      <c r="C230" s="166"/>
      <c r="D230" s="4" t="s">
        <v>11</v>
      </c>
      <c r="E230" s="4" t="s">
        <v>11</v>
      </c>
      <c r="F230" s="4" t="s">
        <v>11</v>
      </c>
      <c r="G230" s="4" t="s">
        <v>11</v>
      </c>
      <c r="H230" s="4" t="s">
        <v>11</v>
      </c>
      <c r="I230" s="4" t="s">
        <v>11</v>
      </c>
      <c r="J230" s="4" t="s">
        <v>11</v>
      </c>
      <c r="K230" s="4" t="s">
        <v>11</v>
      </c>
      <c r="L230" s="4" t="s">
        <v>11</v>
      </c>
      <c r="M230" s="4" t="s">
        <v>11</v>
      </c>
    </row>
    <row r="231" spans="1:13" ht="30" customHeight="1" x14ac:dyDescent="0.25">
      <c r="A231" s="5">
        <v>16</v>
      </c>
      <c r="B231" s="166" t="s">
        <v>365</v>
      </c>
      <c r="C231" s="166"/>
      <c r="D231" s="4">
        <v>350680</v>
      </c>
      <c r="E231" s="4" t="s">
        <v>11</v>
      </c>
      <c r="F231" s="4" t="s">
        <v>11</v>
      </c>
      <c r="G231" s="4" t="s">
        <v>11</v>
      </c>
      <c r="H231" s="4" t="s">
        <v>11</v>
      </c>
      <c r="I231" s="4" t="s">
        <v>11</v>
      </c>
      <c r="J231" s="4" t="s">
        <v>11</v>
      </c>
      <c r="K231" s="4" t="s">
        <v>11</v>
      </c>
      <c r="L231" s="4" t="s">
        <v>11</v>
      </c>
      <c r="M231" s="4" t="s">
        <v>11</v>
      </c>
    </row>
    <row r="232" spans="1:13" ht="30" customHeight="1" x14ac:dyDescent="0.25">
      <c r="A232" s="5">
        <v>17</v>
      </c>
      <c r="B232" s="166" t="s">
        <v>367</v>
      </c>
      <c r="C232" s="166"/>
      <c r="D232" s="4">
        <v>625590</v>
      </c>
      <c r="E232" s="4" t="s">
        <v>11</v>
      </c>
      <c r="F232" s="4" t="s">
        <v>11</v>
      </c>
      <c r="G232" s="4" t="s">
        <v>11</v>
      </c>
      <c r="H232" s="4" t="s">
        <v>11</v>
      </c>
      <c r="I232" s="4" t="s">
        <v>11</v>
      </c>
      <c r="J232" s="4" t="s">
        <v>11</v>
      </c>
      <c r="K232" s="4" t="s">
        <v>11</v>
      </c>
      <c r="L232" s="4" t="s">
        <v>11</v>
      </c>
      <c r="M232" s="4" t="s">
        <v>11</v>
      </c>
    </row>
    <row r="233" spans="1:13" ht="30" customHeight="1" x14ac:dyDescent="0.25">
      <c r="A233" s="5">
        <v>18</v>
      </c>
      <c r="B233" s="166" t="s">
        <v>368</v>
      </c>
      <c r="C233" s="166"/>
      <c r="D233" s="4" t="s">
        <v>11</v>
      </c>
      <c r="E233" s="4" t="s">
        <v>11</v>
      </c>
      <c r="F233" s="4" t="s">
        <v>11</v>
      </c>
      <c r="G233" s="4" t="s">
        <v>11</v>
      </c>
      <c r="H233" s="4" t="s">
        <v>11</v>
      </c>
      <c r="I233" s="4" t="s">
        <v>11</v>
      </c>
      <c r="J233" s="4" t="s">
        <v>11</v>
      </c>
      <c r="K233" s="4" t="s">
        <v>11</v>
      </c>
      <c r="L233" s="4" t="s">
        <v>11</v>
      </c>
      <c r="M233" s="4" t="s">
        <v>11</v>
      </c>
    </row>
    <row r="234" spans="1:13" ht="30" customHeight="1" x14ac:dyDescent="0.25">
      <c r="A234" s="5">
        <v>19</v>
      </c>
      <c r="B234" s="166" t="s">
        <v>369</v>
      </c>
      <c r="C234" s="166"/>
      <c r="D234" s="4">
        <v>182853.5</v>
      </c>
      <c r="E234" s="4" t="s">
        <v>11</v>
      </c>
      <c r="F234" s="4" t="s">
        <v>11</v>
      </c>
      <c r="G234" s="4" t="s">
        <v>11</v>
      </c>
      <c r="H234" s="4" t="s">
        <v>11</v>
      </c>
      <c r="I234" s="4" t="s">
        <v>11</v>
      </c>
      <c r="J234" s="4" t="s">
        <v>11</v>
      </c>
      <c r="K234" s="4" t="s">
        <v>11</v>
      </c>
      <c r="L234" s="4" t="s">
        <v>11</v>
      </c>
      <c r="M234" s="4" t="s">
        <v>11</v>
      </c>
    </row>
    <row r="235" spans="1:13" ht="30" customHeight="1" x14ac:dyDescent="0.25">
      <c r="A235" s="5">
        <v>20</v>
      </c>
      <c r="B235" s="166" t="s">
        <v>370</v>
      </c>
      <c r="C235" s="166"/>
      <c r="D235" s="4">
        <v>1329958</v>
      </c>
      <c r="E235" s="4" t="s">
        <v>11</v>
      </c>
      <c r="F235" s="4" t="s">
        <v>11</v>
      </c>
      <c r="G235" s="4" t="s">
        <v>11</v>
      </c>
      <c r="H235" s="4" t="s">
        <v>11</v>
      </c>
      <c r="I235" s="4" t="s">
        <v>11</v>
      </c>
      <c r="J235" s="4" t="s">
        <v>11</v>
      </c>
      <c r="K235" s="4" t="s">
        <v>11</v>
      </c>
      <c r="L235" s="4" t="s">
        <v>11</v>
      </c>
      <c r="M235" s="4" t="s">
        <v>11</v>
      </c>
    </row>
    <row r="236" spans="1:13" ht="30" customHeight="1" x14ac:dyDescent="0.25">
      <c r="A236" s="5">
        <v>21</v>
      </c>
      <c r="B236" s="166" t="s">
        <v>371</v>
      </c>
      <c r="C236" s="166"/>
      <c r="D236" s="4">
        <v>1096700</v>
      </c>
      <c r="E236" s="4" t="s">
        <v>11</v>
      </c>
      <c r="F236" s="4" t="s">
        <v>11</v>
      </c>
      <c r="G236" s="4" t="s">
        <v>11</v>
      </c>
      <c r="H236" s="4" t="s">
        <v>11</v>
      </c>
      <c r="I236" s="4" t="s">
        <v>11</v>
      </c>
      <c r="J236" s="4" t="s">
        <v>11</v>
      </c>
      <c r="K236" s="4" t="s">
        <v>11</v>
      </c>
      <c r="L236" s="4" t="s">
        <v>11</v>
      </c>
      <c r="M236" s="4" t="s">
        <v>11</v>
      </c>
    </row>
    <row r="237" spans="1:13" ht="30" customHeight="1" x14ac:dyDescent="0.25">
      <c r="A237" s="5">
        <v>22</v>
      </c>
      <c r="B237" s="166" t="s">
        <v>373</v>
      </c>
      <c r="C237" s="166"/>
      <c r="D237" s="4">
        <v>25134</v>
      </c>
      <c r="E237" s="4" t="s">
        <v>11</v>
      </c>
      <c r="F237" s="4" t="s">
        <v>11</v>
      </c>
      <c r="G237" s="4" t="s">
        <v>11</v>
      </c>
      <c r="H237" s="4" t="s">
        <v>11</v>
      </c>
      <c r="I237" s="4" t="s">
        <v>11</v>
      </c>
      <c r="J237" s="4" t="s">
        <v>11</v>
      </c>
      <c r="K237" s="4" t="s">
        <v>11</v>
      </c>
      <c r="L237" s="4" t="s">
        <v>11</v>
      </c>
      <c r="M237" s="4" t="s">
        <v>11</v>
      </c>
    </row>
    <row r="238" spans="1:13" ht="30" customHeight="1" x14ac:dyDescent="0.25">
      <c r="A238" s="5">
        <v>23</v>
      </c>
      <c r="B238" s="166" t="s">
        <v>374</v>
      </c>
      <c r="C238" s="166"/>
      <c r="D238" s="4">
        <v>355600</v>
      </c>
      <c r="E238" s="4" t="s">
        <v>11</v>
      </c>
      <c r="F238" s="4" t="s">
        <v>11</v>
      </c>
      <c r="G238" s="4" t="s">
        <v>11</v>
      </c>
      <c r="H238" s="4" t="s">
        <v>11</v>
      </c>
      <c r="I238" s="4" t="s">
        <v>11</v>
      </c>
      <c r="J238" s="4" t="s">
        <v>11</v>
      </c>
      <c r="K238" s="4" t="s">
        <v>11</v>
      </c>
      <c r="L238" s="4" t="s">
        <v>11</v>
      </c>
      <c r="M238" s="4" t="s">
        <v>11</v>
      </c>
    </row>
    <row r="239" spans="1:13" ht="30" customHeight="1" x14ac:dyDescent="0.25">
      <c r="A239" s="5">
        <v>24</v>
      </c>
      <c r="B239" s="166" t="s">
        <v>375</v>
      </c>
      <c r="C239" s="166"/>
      <c r="D239" s="4">
        <v>911050</v>
      </c>
      <c r="E239" s="4" t="s">
        <v>11</v>
      </c>
      <c r="F239" s="4" t="s">
        <v>11</v>
      </c>
      <c r="G239" s="4" t="s">
        <v>11</v>
      </c>
      <c r="H239" s="4" t="s">
        <v>11</v>
      </c>
      <c r="I239" s="4" t="s">
        <v>11</v>
      </c>
      <c r="J239" s="4" t="s">
        <v>11</v>
      </c>
      <c r="K239" s="4" t="s">
        <v>11</v>
      </c>
      <c r="L239" s="4" t="s">
        <v>11</v>
      </c>
      <c r="M239" s="4" t="s">
        <v>11</v>
      </c>
    </row>
    <row r="240" spans="1:13" ht="30" customHeight="1" x14ac:dyDescent="0.25">
      <c r="A240" s="5">
        <v>25</v>
      </c>
      <c r="B240" s="166" t="s">
        <v>376</v>
      </c>
      <c r="C240" s="166"/>
      <c r="D240" s="4">
        <v>59250</v>
      </c>
      <c r="E240" s="4" t="s">
        <v>11</v>
      </c>
      <c r="F240" s="4" t="s">
        <v>11</v>
      </c>
      <c r="G240" s="4" t="s">
        <v>11</v>
      </c>
      <c r="H240" s="4" t="s">
        <v>11</v>
      </c>
      <c r="I240" s="4" t="s">
        <v>11</v>
      </c>
      <c r="J240" s="4" t="s">
        <v>11</v>
      </c>
      <c r="K240" s="4" t="s">
        <v>11</v>
      </c>
      <c r="L240" s="4" t="s">
        <v>11</v>
      </c>
      <c r="M240" s="4" t="s">
        <v>11</v>
      </c>
    </row>
    <row r="241" spans="1:13" ht="30" customHeight="1" x14ac:dyDescent="0.25">
      <c r="A241" s="5">
        <v>26</v>
      </c>
      <c r="B241" s="166" t="s">
        <v>377</v>
      </c>
      <c r="C241" s="166"/>
      <c r="D241" s="4" t="s">
        <v>11</v>
      </c>
      <c r="E241" s="4" t="s">
        <v>11</v>
      </c>
      <c r="F241" s="4" t="s">
        <v>11</v>
      </c>
      <c r="G241" s="4" t="s">
        <v>11</v>
      </c>
      <c r="H241" s="4" t="s">
        <v>11</v>
      </c>
      <c r="I241" s="4" t="s">
        <v>11</v>
      </c>
      <c r="J241" s="4" t="s">
        <v>11</v>
      </c>
      <c r="K241" s="4" t="s">
        <v>11</v>
      </c>
      <c r="L241" s="4" t="s">
        <v>11</v>
      </c>
      <c r="M241" s="4" t="s">
        <v>11</v>
      </c>
    </row>
    <row r="242" spans="1:13" ht="30" customHeight="1" x14ac:dyDescent="0.25">
      <c r="A242" s="5">
        <v>27</v>
      </c>
      <c r="B242" s="166" t="s">
        <v>379</v>
      </c>
      <c r="C242" s="166"/>
      <c r="D242" s="4" t="s">
        <v>11</v>
      </c>
      <c r="E242" s="4" t="s">
        <v>11</v>
      </c>
      <c r="F242" s="4" t="s">
        <v>11</v>
      </c>
      <c r="G242" s="4" t="s">
        <v>11</v>
      </c>
      <c r="H242" s="4" t="s">
        <v>11</v>
      </c>
      <c r="I242" s="4" t="s">
        <v>11</v>
      </c>
      <c r="J242" s="4" t="s">
        <v>11</v>
      </c>
      <c r="K242" s="4" t="s">
        <v>11</v>
      </c>
      <c r="L242" s="4" t="s">
        <v>11</v>
      </c>
      <c r="M242" s="4" t="s">
        <v>11</v>
      </c>
    </row>
    <row r="243" spans="1:13" ht="30" customHeight="1" x14ac:dyDescent="0.25">
      <c r="A243" s="5">
        <v>28</v>
      </c>
      <c r="B243" s="166" t="s">
        <v>381</v>
      </c>
      <c r="C243" s="166"/>
      <c r="D243" s="4">
        <v>234000</v>
      </c>
      <c r="E243" s="4" t="s">
        <v>11</v>
      </c>
      <c r="F243" s="4" t="s">
        <v>11</v>
      </c>
      <c r="G243" s="4" t="s">
        <v>11</v>
      </c>
      <c r="H243" s="4" t="s">
        <v>11</v>
      </c>
      <c r="I243" s="4" t="s">
        <v>11</v>
      </c>
      <c r="J243" s="4" t="s">
        <v>11</v>
      </c>
      <c r="K243" s="4" t="s">
        <v>11</v>
      </c>
      <c r="L243" s="4" t="s">
        <v>11</v>
      </c>
      <c r="M243" s="4" t="s">
        <v>11</v>
      </c>
    </row>
    <row r="244" spans="1:13" ht="30" customHeight="1" x14ac:dyDescent="0.25">
      <c r="A244" s="167" t="s">
        <v>383</v>
      </c>
      <c r="B244" s="167"/>
      <c r="C244" s="167"/>
      <c r="D244" s="18">
        <v>12559436.5</v>
      </c>
      <c r="E244" s="18">
        <v>0</v>
      </c>
      <c r="F244" s="18">
        <v>0</v>
      </c>
      <c r="G244" s="18">
        <v>0</v>
      </c>
      <c r="H244" s="18">
        <v>0</v>
      </c>
      <c r="I244" s="18">
        <v>0</v>
      </c>
      <c r="J244" s="18">
        <v>0</v>
      </c>
      <c r="K244" s="18">
        <v>0</v>
      </c>
      <c r="L244" s="18">
        <v>0</v>
      </c>
      <c r="M244" s="18">
        <v>0</v>
      </c>
    </row>
    <row r="246" spans="1:13" s="7" customFormat="1" ht="30" customHeight="1" x14ac:dyDescent="0.25">
      <c r="A246" s="169" t="s">
        <v>384</v>
      </c>
      <c r="B246" s="169"/>
      <c r="C246" s="169"/>
      <c r="D246" s="169"/>
      <c r="E246" s="169"/>
      <c r="F246" s="169"/>
      <c r="G246" s="169"/>
      <c r="H246" s="169"/>
      <c r="I246" s="169"/>
      <c r="J246" s="169"/>
      <c r="K246" s="169"/>
      <c r="L246" s="169"/>
      <c r="M246" s="169"/>
    </row>
    <row r="247" spans="1:13" ht="30" customHeight="1" x14ac:dyDescent="0.25">
      <c r="A247" s="170" t="s">
        <v>0</v>
      </c>
      <c r="B247" s="170" t="s">
        <v>17</v>
      </c>
      <c r="C247" s="170"/>
      <c r="D247" s="168" t="s">
        <v>1</v>
      </c>
      <c r="E247" s="168"/>
      <c r="F247" s="168"/>
      <c r="G247" s="168"/>
      <c r="H247" s="168"/>
      <c r="I247" s="168"/>
      <c r="J247" s="168"/>
      <c r="K247" s="168"/>
      <c r="L247" s="168"/>
      <c r="M247" s="168"/>
    </row>
    <row r="248" spans="1:13" s="17" customFormat="1" ht="30" customHeight="1" x14ac:dyDescent="0.25">
      <c r="A248" s="170"/>
      <c r="B248" s="170"/>
      <c r="C248" s="170"/>
      <c r="D248" s="1">
        <v>1</v>
      </c>
      <c r="E248" s="1">
        <v>2</v>
      </c>
      <c r="F248" s="1">
        <v>3</v>
      </c>
      <c r="G248" s="1">
        <v>4</v>
      </c>
      <c r="H248" s="1">
        <v>5</v>
      </c>
      <c r="I248" s="1">
        <v>6</v>
      </c>
      <c r="J248" s="1">
        <v>7</v>
      </c>
      <c r="K248" s="1">
        <v>8</v>
      </c>
      <c r="L248" s="1">
        <v>9</v>
      </c>
      <c r="M248" s="1">
        <v>10</v>
      </c>
    </row>
    <row r="249" spans="1:13" s="19" customFormat="1" ht="30" customHeight="1" x14ac:dyDescent="0.25">
      <c r="A249" s="5">
        <v>1</v>
      </c>
      <c r="B249" s="166" t="s">
        <v>344</v>
      </c>
      <c r="C249" s="166"/>
      <c r="D249" s="8">
        <v>1.831610836998937E-3</v>
      </c>
      <c r="E249" s="8" t="s">
        <v>11</v>
      </c>
      <c r="F249" s="8" t="s">
        <v>11</v>
      </c>
      <c r="G249" s="8" t="s">
        <v>11</v>
      </c>
      <c r="H249" s="8" t="s">
        <v>11</v>
      </c>
      <c r="I249" s="8" t="s">
        <v>11</v>
      </c>
      <c r="J249" s="8" t="s">
        <v>11</v>
      </c>
      <c r="K249" s="8" t="s">
        <v>11</v>
      </c>
      <c r="L249" s="8" t="s">
        <v>11</v>
      </c>
      <c r="M249" s="8" t="s">
        <v>11</v>
      </c>
    </row>
    <row r="250" spans="1:13" s="19" customFormat="1" ht="30" customHeight="1" x14ac:dyDescent="0.25">
      <c r="A250" s="5">
        <v>2</v>
      </c>
      <c r="B250" s="166" t="s">
        <v>346</v>
      </c>
      <c r="C250" s="166"/>
      <c r="D250" s="8">
        <v>1.7646094233606739E-2</v>
      </c>
      <c r="E250" s="8" t="s">
        <v>11</v>
      </c>
      <c r="F250" s="8" t="s">
        <v>11</v>
      </c>
      <c r="G250" s="8" t="s">
        <v>11</v>
      </c>
      <c r="H250" s="8" t="s">
        <v>11</v>
      </c>
      <c r="I250" s="8" t="s">
        <v>11</v>
      </c>
      <c r="J250" s="8" t="s">
        <v>11</v>
      </c>
      <c r="K250" s="8" t="s">
        <v>11</v>
      </c>
      <c r="L250" s="8" t="s">
        <v>11</v>
      </c>
      <c r="M250" s="8" t="s">
        <v>11</v>
      </c>
    </row>
    <row r="251" spans="1:13" s="19" customFormat="1" ht="30" customHeight="1" x14ac:dyDescent="0.25">
      <c r="A251" s="5">
        <v>3</v>
      </c>
      <c r="B251" s="166" t="s">
        <v>347</v>
      </c>
      <c r="C251" s="166"/>
      <c r="D251" s="8">
        <v>3.1284843073970717E-3</v>
      </c>
      <c r="E251" s="8" t="s">
        <v>11</v>
      </c>
      <c r="F251" s="8" t="s">
        <v>11</v>
      </c>
      <c r="G251" s="8" t="s">
        <v>11</v>
      </c>
      <c r="H251" s="8" t="s">
        <v>11</v>
      </c>
      <c r="I251" s="8" t="s">
        <v>11</v>
      </c>
      <c r="J251" s="8" t="s">
        <v>11</v>
      </c>
      <c r="K251" s="8" t="s">
        <v>11</v>
      </c>
      <c r="L251" s="8" t="s">
        <v>11</v>
      </c>
      <c r="M251" s="8" t="s">
        <v>11</v>
      </c>
    </row>
    <row r="252" spans="1:13" s="19" customFormat="1" ht="30" customHeight="1" x14ac:dyDescent="0.25">
      <c r="A252" s="5">
        <v>4</v>
      </c>
      <c r="B252" s="166" t="s">
        <v>349</v>
      </c>
      <c r="C252" s="166"/>
      <c r="D252" s="8">
        <v>1.2533404663497442E-2</v>
      </c>
      <c r="E252" s="8" t="s">
        <v>11</v>
      </c>
      <c r="F252" s="8" t="s">
        <v>11</v>
      </c>
      <c r="G252" s="8" t="s">
        <v>11</v>
      </c>
      <c r="H252" s="8" t="s">
        <v>11</v>
      </c>
      <c r="I252" s="8" t="s">
        <v>11</v>
      </c>
      <c r="J252" s="8" t="s">
        <v>11</v>
      </c>
      <c r="K252" s="8" t="s">
        <v>11</v>
      </c>
      <c r="L252" s="8" t="s">
        <v>11</v>
      </c>
      <c r="M252" s="8" t="s">
        <v>11</v>
      </c>
    </row>
    <row r="253" spans="1:13" s="19" customFormat="1" ht="30" customHeight="1" x14ac:dyDescent="0.25">
      <c r="A253" s="5">
        <v>5</v>
      </c>
      <c r="B253" s="166" t="s">
        <v>350</v>
      </c>
      <c r="C253" s="166"/>
      <c r="D253" s="8" t="s">
        <v>11</v>
      </c>
      <c r="E253" s="8" t="s">
        <v>11</v>
      </c>
      <c r="F253" s="8" t="s">
        <v>11</v>
      </c>
      <c r="G253" s="8" t="s">
        <v>11</v>
      </c>
      <c r="H253" s="8" t="s">
        <v>11</v>
      </c>
      <c r="I253" s="8" t="s">
        <v>11</v>
      </c>
      <c r="J253" s="8" t="s">
        <v>11</v>
      </c>
      <c r="K253" s="8" t="s">
        <v>11</v>
      </c>
      <c r="L253" s="8" t="s">
        <v>11</v>
      </c>
      <c r="M253" s="8" t="s">
        <v>11</v>
      </c>
    </row>
    <row r="254" spans="1:13" s="19" customFormat="1" ht="30" customHeight="1" x14ac:dyDescent="0.25">
      <c r="A254" s="5">
        <v>6</v>
      </c>
      <c r="B254" s="166" t="s">
        <v>351</v>
      </c>
      <c r="C254" s="166"/>
      <c r="D254" s="8" t="s">
        <v>11</v>
      </c>
      <c r="E254" s="8" t="s">
        <v>11</v>
      </c>
      <c r="F254" s="8" t="s">
        <v>11</v>
      </c>
      <c r="G254" s="8" t="s">
        <v>11</v>
      </c>
      <c r="H254" s="8" t="s">
        <v>11</v>
      </c>
      <c r="I254" s="8" t="s">
        <v>11</v>
      </c>
      <c r="J254" s="8" t="s">
        <v>11</v>
      </c>
      <c r="K254" s="8" t="s">
        <v>11</v>
      </c>
      <c r="L254" s="8" t="s">
        <v>11</v>
      </c>
      <c r="M254" s="8" t="s">
        <v>11</v>
      </c>
    </row>
    <row r="255" spans="1:13" s="19" customFormat="1" ht="30" customHeight="1" x14ac:dyDescent="0.25">
      <c r="A255" s="5">
        <v>7</v>
      </c>
      <c r="B255" s="166" t="s">
        <v>353</v>
      </c>
      <c r="C255" s="166"/>
      <c r="D255" s="8">
        <v>6.0775019643596268E-3</v>
      </c>
      <c r="E255" s="8" t="s">
        <v>11</v>
      </c>
      <c r="F255" s="8" t="s">
        <v>11</v>
      </c>
      <c r="G255" s="8" t="s">
        <v>11</v>
      </c>
      <c r="H255" s="8" t="s">
        <v>11</v>
      </c>
      <c r="I255" s="8" t="s">
        <v>11</v>
      </c>
      <c r="J255" s="8" t="s">
        <v>11</v>
      </c>
      <c r="K255" s="8" t="s">
        <v>11</v>
      </c>
      <c r="L255" s="8" t="s">
        <v>11</v>
      </c>
      <c r="M255" s="8" t="s">
        <v>11</v>
      </c>
    </row>
    <row r="256" spans="1:13" s="19" customFormat="1" ht="30" customHeight="1" x14ac:dyDescent="0.25">
      <c r="A256" s="5">
        <v>8</v>
      </c>
      <c r="B256" s="166" t="s">
        <v>355</v>
      </c>
      <c r="C256" s="166"/>
      <c r="D256" s="8">
        <v>1.5765038503120742E-3</v>
      </c>
      <c r="E256" s="8" t="s">
        <v>11</v>
      </c>
      <c r="F256" s="8" t="s">
        <v>11</v>
      </c>
      <c r="G256" s="8" t="s">
        <v>11</v>
      </c>
      <c r="H256" s="8" t="s">
        <v>11</v>
      </c>
      <c r="I256" s="8" t="s">
        <v>11</v>
      </c>
      <c r="J256" s="8" t="s">
        <v>11</v>
      </c>
      <c r="K256" s="8" t="s">
        <v>11</v>
      </c>
      <c r="L256" s="8" t="s">
        <v>11</v>
      </c>
      <c r="M256" s="8" t="s">
        <v>11</v>
      </c>
    </row>
    <row r="257" spans="1:13" s="19" customFormat="1" ht="30" customHeight="1" x14ac:dyDescent="0.25">
      <c r="A257" s="5">
        <v>9</v>
      </c>
      <c r="B257" s="166" t="s">
        <v>356</v>
      </c>
      <c r="C257" s="166"/>
      <c r="D257" s="8" t="s">
        <v>11</v>
      </c>
      <c r="E257" s="8" t="s">
        <v>11</v>
      </c>
      <c r="F257" s="8" t="s">
        <v>11</v>
      </c>
      <c r="G257" s="8" t="s">
        <v>11</v>
      </c>
      <c r="H257" s="8" t="s">
        <v>11</v>
      </c>
      <c r="I257" s="8" t="s">
        <v>11</v>
      </c>
      <c r="J257" s="8" t="s">
        <v>11</v>
      </c>
      <c r="K257" s="8" t="s">
        <v>11</v>
      </c>
      <c r="L257" s="8" t="s">
        <v>11</v>
      </c>
      <c r="M257" s="8" t="s">
        <v>11</v>
      </c>
    </row>
    <row r="258" spans="1:13" s="19" customFormat="1" ht="30" customHeight="1" x14ac:dyDescent="0.25">
      <c r="A258" s="5">
        <v>10</v>
      </c>
      <c r="B258" s="166" t="s">
        <v>358</v>
      </c>
      <c r="C258" s="166"/>
      <c r="D258" s="8">
        <v>2.7501233833221738E-2</v>
      </c>
      <c r="E258" s="8" t="s">
        <v>11</v>
      </c>
      <c r="F258" s="8" t="s">
        <v>11</v>
      </c>
      <c r="G258" s="8" t="s">
        <v>11</v>
      </c>
      <c r="H258" s="8" t="s">
        <v>11</v>
      </c>
      <c r="I258" s="8" t="s">
        <v>11</v>
      </c>
      <c r="J258" s="8" t="s">
        <v>11</v>
      </c>
      <c r="K258" s="8" t="s">
        <v>11</v>
      </c>
      <c r="L258" s="8" t="s">
        <v>11</v>
      </c>
      <c r="M258" s="8" t="s">
        <v>11</v>
      </c>
    </row>
    <row r="259" spans="1:13" s="19" customFormat="1" ht="30" customHeight="1" x14ac:dyDescent="0.25">
      <c r="A259" s="5">
        <v>11</v>
      </c>
      <c r="B259" s="166" t="s">
        <v>359</v>
      </c>
      <c r="C259" s="166"/>
      <c r="D259" s="8">
        <v>5.8647137552707874E-3</v>
      </c>
      <c r="E259" s="8" t="s">
        <v>11</v>
      </c>
      <c r="F259" s="8" t="s">
        <v>11</v>
      </c>
      <c r="G259" s="8" t="s">
        <v>11</v>
      </c>
      <c r="H259" s="8" t="s">
        <v>11</v>
      </c>
      <c r="I259" s="8" t="s">
        <v>11</v>
      </c>
      <c r="J259" s="8" t="s">
        <v>11</v>
      </c>
      <c r="K259" s="8" t="s">
        <v>11</v>
      </c>
      <c r="L259" s="8" t="s">
        <v>11</v>
      </c>
      <c r="M259" s="8" t="s">
        <v>11</v>
      </c>
    </row>
    <row r="260" spans="1:13" s="19" customFormat="1" ht="30" customHeight="1" x14ac:dyDescent="0.25">
      <c r="A260" s="5">
        <v>12</v>
      </c>
      <c r="B260" s="166" t="s">
        <v>360</v>
      </c>
      <c r="C260" s="166"/>
      <c r="D260" s="8">
        <v>2.7708249490333422E-3</v>
      </c>
      <c r="E260" s="8" t="s">
        <v>11</v>
      </c>
      <c r="F260" s="8" t="s">
        <v>11</v>
      </c>
      <c r="G260" s="8" t="s">
        <v>11</v>
      </c>
      <c r="H260" s="8" t="s">
        <v>11</v>
      </c>
      <c r="I260" s="8" t="s">
        <v>11</v>
      </c>
      <c r="J260" s="8" t="s">
        <v>11</v>
      </c>
      <c r="K260" s="8" t="s">
        <v>11</v>
      </c>
      <c r="L260" s="8" t="s">
        <v>11</v>
      </c>
      <c r="M260" s="8" t="s">
        <v>11</v>
      </c>
    </row>
    <row r="261" spans="1:13" s="19" customFormat="1" ht="30" customHeight="1" x14ac:dyDescent="0.25">
      <c r="A261" s="5">
        <v>13</v>
      </c>
      <c r="B261" s="166" t="s">
        <v>361</v>
      </c>
      <c r="C261" s="166"/>
      <c r="D261" s="8">
        <v>2.2508971640566835E-2</v>
      </c>
      <c r="E261" s="8" t="s">
        <v>11</v>
      </c>
      <c r="F261" s="8" t="s">
        <v>11</v>
      </c>
      <c r="G261" s="8" t="s">
        <v>11</v>
      </c>
      <c r="H261" s="8" t="s">
        <v>11</v>
      </c>
      <c r="I261" s="8" t="s">
        <v>11</v>
      </c>
      <c r="J261" s="8" t="s">
        <v>11</v>
      </c>
      <c r="K261" s="8" t="s">
        <v>11</v>
      </c>
      <c r="L261" s="8" t="s">
        <v>11</v>
      </c>
      <c r="M261" s="8" t="s">
        <v>11</v>
      </c>
    </row>
    <row r="262" spans="1:13" s="19" customFormat="1" ht="30" customHeight="1" x14ac:dyDescent="0.25">
      <c r="A262" s="5">
        <v>14</v>
      </c>
      <c r="B262" s="166" t="s">
        <v>362</v>
      </c>
      <c r="C262" s="166"/>
      <c r="D262" s="8">
        <v>0.48685305268273782</v>
      </c>
      <c r="E262" s="8" t="s">
        <v>11</v>
      </c>
      <c r="F262" s="8" t="s">
        <v>11</v>
      </c>
      <c r="G262" s="8" t="s">
        <v>11</v>
      </c>
      <c r="H262" s="8" t="s">
        <v>11</v>
      </c>
      <c r="I262" s="8" t="s">
        <v>11</v>
      </c>
      <c r="J262" s="8" t="s">
        <v>11</v>
      </c>
      <c r="K262" s="8" t="s">
        <v>11</v>
      </c>
      <c r="L262" s="8" t="s">
        <v>11</v>
      </c>
      <c r="M262" s="8" t="s">
        <v>11</v>
      </c>
    </row>
    <row r="263" spans="1:13" s="19" customFormat="1" ht="30" customHeight="1" x14ac:dyDescent="0.25">
      <c r="A263" s="5">
        <v>15</v>
      </c>
      <c r="B263" s="166" t="s">
        <v>363</v>
      </c>
      <c r="C263" s="166"/>
      <c r="D263" s="8" t="s">
        <v>11</v>
      </c>
      <c r="E263" s="8" t="s">
        <v>11</v>
      </c>
      <c r="F263" s="8" t="s">
        <v>11</v>
      </c>
      <c r="G263" s="8" t="s">
        <v>11</v>
      </c>
      <c r="H263" s="8" t="s">
        <v>11</v>
      </c>
      <c r="I263" s="8" t="s">
        <v>11</v>
      </c>
      <c r="J263" s="8" t="s">
        <v>11</v>
      </c>
      <c r="K263" s="8" t="s">
        <v>11</v>
      </c>
      <c r="L263" s="8" t="s">
        <v>11</v>
      </c>
      <c r="M263" s="8" t="s">
        <v>11</v>
      </c>
    </row>
    <row r="264" spans="1:13" s="19" customFormat="1" ht="30" customHeight="1" x14ac:dyDescent="0.25">
      <c r="A264" s="5">
        <v>16</v>
      </c>
      <c r="B264" s="166" t="s">
        <v>365</v>
      </c>
      <c r="C264" s="166"/>
      <c r="D264" s="8">
        <v>2.7921634859971622E-2</v>
      </c>
      <c r="E264" s="8" t="s">
        <v>11</v>
      </c>
      <c r="F264" s="8" t="s">
        <v>11</v>
      </c>
      <c r="G264" s="8" t="s">
        <v>11</v>
      </c>
      <c r="H264" s="8" t="s">
        <v>11</v>
      </c>
      <c r="I264" s="8" t="s">
        <v>11</v>
      </c>
      <c r="J264" s="8" t="s">
        <v>11</v>
      </c>
      <c r="K264" s="8" t="s">
        <v>11</v>
      </c>
      <c r="L264" s="8" t="s">
        <v>11</v>
      </c>
      <c r="M264" s="8" t="s">
        <v>11</v>
      </c>
    </row>
    <row r="265" spans="1:13" s="19" customFormat="1" ht="30" customHeight="1" x14ac:dyDescent="0.25">
      <c r="A265" s="5">
        <v>17</v>
      </c>
      <c r="B265" s="166" t="s">
        <v>367</v>
      </c>
      <c r="C265" s="166"/>
      <c r="D265" s="8">
        <v>4.9810355743269218E-2</v>
      </c>
      <c r="E265" s="8" t="s">
        <v>11</v>
      </c>
      <c r="F265" s="8" t="s">
        <v>11</v>
      </c>
      <c r="G265" s="8" t="s">
        <v>11</v>
      </c>
      <c r="H265" s="8" t="s">
        <v>11</v>
      </c>
      <c r="I265" s="8" t="s">
        <v>11</v>
      </c>
      <c r="J265" s="8" t="s">
        <v>11</v>
      </c>
      <c r="K265" s="8" t="s">
        <v>11</v>
      </c>
      <c r="L265" s="8" t="s">
        <v>11</v>
      </c>
      <c r="M265" s="8" t="s">
        <v>11</v>
      </c>
    </row>
    <row r="266" spans="1:13" s="19" customFormat="1" ht="30" customHeight="1" x14ac:dyDescent="0.25">
      <c r="A266" s="5">
        <v>18</v>
      </c>
      <c r="B266" s="166" t="s">
        <v>368</v>
      </c>
      <c r="C266" s="166"/>
      <c r="D266" s="8" t="s">
        <v>11</v>
      </c>
      <c r="E266" s="8" t="s">
        <v>11</v>
      </c>
      <c r="F266" s="8" t="s">
        <v>11</v>
      </c>
      <c r="G266" s="8" t="s">
        <v>11</v>
      </c>
      <c r="H266" s="8" t="s">
        <v>11</v>
      </c>
      <c r="I266" s="8" t="s">
        <v>11</v>
      </c>
      <c r="J266" s="8" t="s">
        <v>11</v>
      </c>
      <c r="K266" s="8" t="s">
        <v>11</v>
      </c>
      <c r="L266" s="8" t="s">
        <v>11</v>
      </c>
      <c r="M266" s="8" t="s">
        <v>11</v>
      </c>
    </row>
    <row r="267" spans="1:13" s="19" customFormat="1" ht="30" customHeight="1" x14ac:dyDescent="0.25">
      <c r="A267" s="5">
        <v>19</v>
      </c>
      <c r="B267" s="166" t="s">
        <v>369</v>
      </c>
      <c r="C267" s="166"/>
      <c r="D267" s="8">
        <v>1.4559052868335295E-2</v>
      </c>
      <c r="E267" s="8" t="s">
        <v>11</v>
      </c>
      <c r="F267" s="8" t="s">
        <v>11</v>
      </c>
      <c r="G267" s="8" t="s">
        <v>11</v>
      </c>
      <c r="H267" s="8" t="s">
        <v>11</v>
      </c>
      <c r="I267" s="8" t="s">
        <v>11</v>
      </c>
      <c r="J267" s="8" t="s">
        <v>11</v>
      </c>
      <c r="K267" s="8" t="s">
        <v>11</v>
      </c>
      <c r="L267" s="8" t="s">
        <v>11</v>
      </c>
      <c r="M267" s="8" t="s">
        <v>11</v>
      </c>
    </row>
    <row r="268" spans="1:13" ht="30" customHeight="1" x14ac:dyDescent="0.25">
      <c r="A268" s="5">
        <v>20</v>
      </c>
      <c r="B268" s="166" t="s">
        <v>370</v>
      </c>
      <c r="C268" s="166"/>
      <c r="D268" s="8">
        <v>0.10589312665420937</v>
      </c>
      <c r="E268" s="8" t="s">
        <v>11</v>
      </c>
      <c r="F268" s="8" t="s">
        <v>11</v>
      </c>
      <c r="G268" s="8" t="s">
        <v>11</v>
      </c>
      <c r="H268" s="8" t="s">
        <v>11</v>
      </c>
      <c r="I268" s="8" t="s">
        <v>11</v>
      </c>
      <c r="J268" s="8" t="s">
        <v>11</v>
      </c>
      <c r="K268" s="8" t="s">
        <v>11</v>
      </c>
      <c r="L268" s="8" t="s">
        <v>11</v>
      </c>
      <c r="M268" s="8" t="s">
        <v>11</v>
      </c>
    </row>
    <row r="269" spans="1:13" ht="30" customHeight="1" x14ac:dyDescent="0.25">
      <c r="A269" s="5">
        <v>21</v>
      </c>
      <c r="B269" s="166" t="s">
        <v>371</v>
      </c>
      <c r="C269" s="166"/>
      <c r="D269" s="8">
        <v>8.7320796597840991E-2</v>
      </c>
      <c r="E269" s="8" t="s">
        <v>11</v>
      </c>
      <c r="F269" s="8" t="s">
        <v>11</v>
      </c>
      <c r="G269" s="8" t="s">
        <v>11</v>
      </c>
      <c r="H269" s="8" t="s">
        <v>11</v>
      </c>
      <c r="I269" s="8" t="s">
        <v>11</v>
      </c>
      <c r="J269" s="8" t="s">
        <v>11</v>
      </c>
      <c r="K269" s="8" t="s">
        <v>11</v>
      </c>
      <c r="L269" s="8" t="s">
        <v>11</v>
      </c>
      <c r="M269" s="8" t="s">
        <v>11</v>
      </c>
    </row>
    <row r="270" spans="1:13" ht="30" customHeight="1" x14ac:dyDescent="0.25">
      <c r="A270" s="5">
        <v>22</v>
      </c>
      <c r="B270" s="166" t="s">
        <v>373</v>
      </c>
      <c r="C270" s="166"/>
      <c r="D270" s="8">
        <v>2.0012044330173571E-3</v>
      </c>
      <c r="E270" s="8" t="s">
        <v>11</v>
      </c>
      <c r="F270" s="8" t="s">
        <v>11</v>
      </c>
      <c r="G270" s="8" t="s">
        <v>11</v>
      </c>
      <c r="H270" s="8" t="s">
        <v>11</v>
      </c>
      <c r="I270" s="8" t="s">
        <v>11</v>
      </c>
      <c r="J270" s="8" t="s">
        <v>11</v>
      </c>
      <c r="K270" s="8" t="s">
        <v>11</v>
      </c>
      <c r="L270" s="8" t="s">
        <v>11</v>
      </c>
      <c r="M270" s="8" t="s">
        <v>11</v>
      </c>
    </row>
    <row r="271" spans="1:13" ht="30" customHeight="1" x14ac:dyDescent="0.25">
      <c r="A271" s="5">
        <v>23</v>
      </c>
      <c r="B271" s="166" t="s">
        <v>374</v>
      </c>
      <c r="C271" s="166"/>
      <c r="D271" s="8">
        <v>2.8313372180352198E-2</v>
      </c>
      <c r="E271" s="8" t="s">
        <v>11</v>
      </c>
      <c r="F271" s="8" t="s">
        <v>11</v>
      </c>
      <c r="G271" s="8" t="s">
        <v>11</v>
      </c>
      <c r="H271" s="8" t="s">
        <v>11</v>
      </c>
      <c r="I271" s="8" t="s">
        <v>11</v>
      </c>
      <c r="J271" s="8" t="s">
        <v>11</v>
      </c>
      <c r="K271" s="8" t="s">
        <v>11</v>
      </c>
      <c r="L271" s="8" t="s">
        <v>11</v>
      </c>
      <c r="M271" s="8" t="s">
        <v>11</v>
      </c>
    </row>
    <row r="272" spans="1:13" ht="30" customHeight="1" x14ac:dyDescent="0.25">
      <c r="A272" s="5">
        <v>24</v>
      </c>
      <c r="B272" s="166" t="s">
        <v>375</v>
      </c>
      <c r="C272" s="166"/>
      <c r="D272" s="8">
        <v>7.253908246600077E-2</v>
      </c>
      <c r="E272" s="8" t="s">
        <v>11</v>
      </c>
      <c r="F272" s="8" t="s">
        <v>11</v>
      </c>
      <c r="G272" s="8" t="s">
        <v>11</v>
      </c>
      <c r="H272" s="8" t="s">
        <v>11</v>
      </c>
      <c r="I272" s="8" t="s">
        <v>11</v>
      </c>
      <c r="J272" s="8" t="s">
        <v>11</v>
      </c>
      <c r="K272" s="8" t="s">
        <v>11</v>
      </c>
      <c r="L272" s="8" t="s">
        <v>11</v>
      </c>
      <c r="M272" s="8" t="s">
        <v>11</v>
      </c>
    </row>
    <row r="273" spans="1:15" ht="30" customHeight="1" x14ac:dyDescent="0.25">
      <c r="A273" s="5">
        <v>25</v>
      </c>
      <c r="B273" s="166" t="s">
        <v>376</v>
      </c>
      <c r="C273" s="166"/>
      <c r="D273" s="8">
        <v>4.71756833994901E-3</v>
      </c>
      <c r="E273" s="8" t="s">
        <v>11</v>
      </c>
      <c r="F273" s="8" t="s">
        <v>11</v>
      </c>
      <c r="G273" s="8" t="s">
        <v>11</v>
      </c>
      <c r="H273" s="8" t="s">
        <v>11</v>
      </c>
      <c r="I273" s="8" t="s">
        <v>11</v>
      </c>
      <c r="J273" s="8" t="s">
        <v>11</v>
      </c>
      <c r="K273" s="8" t="s">
        <v>11</v>
      </c>
      <c r="L273" s="8" t="s">
        <v>11</v>
      </c>
      <c r="M273" s="8" t="s">
        <v>11</v>
      </c>
    </row>
    <row r="274" spans="1:15" ht="30" customHeight="1" x14ac:dyDescent="0.25">
      <c r="A274" s="5">
        <v>26</v>
      </c>
      <c r="B274" s="166" t="s">
        <v>377</v>
      </c>
      <c r="C274" s="166"/>
      <c r="D274" s="8" t="s">
        <v>11</v>
      </c>
      <c r="E274" s="8" t="s">
        <v>11</v>
      </c>
      <c r="F274" s="8" t="s">
        <v>11</v>
      </c>
      <c r="G274" s="8" t="s">
        <v>11</v>
      </c>
      <c r="H274" s="8" t="s">
        <v>11</v>
      </c>
      <c r="I274" s="8" t="s">
        <v>11</v>
      </c>
      <c r="J274" s="8" t="s">
        <v>11</v>
      </c>
      <c r="K274" s="8" t="s">
        <v>11</v>
      </c>
      <c r="L274" s="8" t="s">
        <v>11</v>
      </c>
      <c r="M274" s="8" t="s">
        <v>11</v>
      </c>
    </row>
    <row r="275" spans="1:15" ht="30" customHeight="1" x14ac:dyDescent="0.25">
      <c r="A275" s="5">
        <v>27</v>
      </c>
      <c r="B275" s="166" t="s">
        <v>379</v>
      </c>
      <c r="C275" s="166"/>
      <c r="D275" s="8" t="s">
        <v>11</v>
      </c>
      <c r="E275" s="8" t="s">
        <v>11</v>
      </c>
      <c r="F275" s="8" t="s">
        <v>11</v>
      </c>
      <c r="G275" s="8" t="s">
        <v>11</v>
      </c>
      <c r="H275" s="8" t="s">
        <v>11</v>
      </c>
      <c r="I275" s="8" t="s">
        <v>11</v>
      </c>
      <c r="J275" s="8" t="s">
        <v>11</v>
      </c>
      <c r="K275" s="8" t="s">
        <v>11</v>
      </c>
      <c r="L275" s="8" t="s">
        <v>11</v>
      </c>
      <c r="M275" s="8" t="s">
        <v>11</v>
      </c>
    </row>
    <row r="276" spans="1:15" ht="30" customHeight="1" x14ac:dyDescent="0.25">
      <c r="A276" s="5">
        <v>28</v>
      </c>
      <c r="B276" s="166" t="s">
        <v>381</v>
      </c>
      <c r="C276" s="166"/>
      <c r="D276" s="8">
        <v>1.8631409140051784E-2</v>
      </c>
      <c r="E276" s="8" t="s">
        <v>11</v>
      </c>
      <c r="F276" s="8" t="s">
        <v>11</v>
      </c>
      <c r="G276" s="8" t="s">
        <v>11</v>
      </c>
      <c r="H276" s="8" t="s">
        <v>11</v>
      </c>
      <c r="I276" s="8" t="s">
        <v>11</v>
      </c>
      <c r="J276" s="8" t="s">
        <v>11</v>
      </c>
      <c r="K276" s="8" t="s">
        <v>11</v>
      </c>
      <c r="L276" s="8" t="s">
        <v>11</v>
      </c>
      <c r="M276" s="8" t="s">
        <v>11</v>
      </c>
      <c r="O276" s="119"/>
    </row>
    <row r="279" spans="1:15" x14ac:dyDescent="0.25">
      <c r="C279" s="118" t="s">
        <v>11</v>
      </c>
    </row>
    <row r="280" spans="1:15" x14ac:dyDescent="0.25">
      <c r="C280" s="9">
        <v>1</v>
      </c>
    </row>
    <row r="281" spans="1:15" x14ac:dyDescent="0.25">
      <c r="C281" s="9">
        <v>2</v>
      </c>
    </row>
    <row r="282" spans="1:15" x14ac:dyDescent="0.25">
      <c r="C282" s="9">
        <v>3</v>
      </c>
    </row>
    <row r="283" spans="1:15" x14ac:dyDescent="0.25">
      <c r="C283" s="9">
        <v>4</v>
      </c>
    </row>
    <row r="284" spans="1:15" x14ac:dyDescent="0.25">
      <c r="C284" s="9">
        <v>5</v>
      </c>
    </row>
    <row r="285" spans="1:15" x14ac:dyDescent="0.25">
      <c r="C285" s="9">
        <v>6</v>
      </c>
    </row>
    <row r="286" spans="1:15" x14ac:dyDescent="0.25">
      <c r="C286" s="9">
        <v>7</v>
      </c>
    </row>
    <row r="287" spans="1:15" x14ac:dyDescent="0.25">
      <c r="C287" s="9">
        <v>8</v>
      </c>
    </row>
    <row r="288" spans="1:15" x14ac:dyDescent="0.25">
      <c r="C288" s="9">
        <v>9</v>
      </c>
    </row>
    <row r="289" spans="3:3" x14ac:dyDescent="0.25">
      <c r="C289" s="9">
        <v>10</v>
      </c>
    </row>
  </sheetData>
  <mergeCells count="71">
    <mergeCell ref="A213:M213"/>
    <mergeCell ref="B214:C215"/>
    <mergeCell ref="A214:A215"/>
    <mergeCell ref="D214:M214"/>
    <mergeCell ref="B216:C216"/>
    <mergeCell ref="A1:C1"/>
    <mergeCell ref="D181:M181"/>
    <mergeCell ref="B181:B182"/>
    <mergeCell ref="A181:A182"/>
    <mergeCell ref="C181:C182"/>
    <mergeCell ref="A180:M180"/>
    <mergeCell ref="B217:C217"/>
    <mergeCell ref="B219:C219"/>
    <mergeCell ref="D247:M247"/>
    <mergeCell ref="A246:M246"/>
    <mergeCell ref="B247:C248"/>
    <mergeCell ref="B218:C218"/>
    <mergeCell ref="B220:C220"/>
    <mergeCell ref="B221:C221"/>
    <mergeCell ref="B222:C222"/>
    <mergeCell ref="B223:C223"/>
    <mergeCell ref="B224:C224"/>
    <mergeCell ref="B225:C225"/>
    <mergeCell ref="B226:C226"/>
    <mergeCell ref="B227:C227"/>
    <mergeCell ref="A247:A248"/>
    <mergeCell ref="B228:C228"/>
    <mergeCell ref="B229:C229"/>
    <mergeCell ref="B230:C230"/>
    <mergeCell ref="B254:C254"/>
    <mergeCell ref="B255:C255"/>
    <mergeCell ref="B250:C250"/>
    <mergeCell ref="B252:C252"/>
    <mergeCell ref="B249:C249"/>
    <mergeCell ref="B251:C251"/>
    <mergeCell ref="B253:C253"/>
    <mergeCell ref="B231:C231"/>
    <mergeCell ref="B232:C232"/>
    <mergeCell ref="B233:C233"/>
    <mergeCell ref="B234:C234"/>
    <mergeCell ref="B235:C235"/>
    <mergeCell ref="B236:C236"/>
    <mergeCell ref="B237:C237"/>
    <mergeCell ref="B238:C238"/>
    <mergeCell ref="B239:C239"/>
    <mergeCell ref="B240:C240"/>
    <mergeCell ref="B241:C241"/>
    <mergeCell ref="B242:C242"/>
    <mergeCell ref="B243:C243"/>
    <mergeCell ref="A244:C244"/>
    <mergeCell ref="B268:C268"/>
    <mergeCell ref="B269:C269"/>
    <mergeCell ref="B266:C266"/>
    <mergeCell ref="B267:C267"/>
    <mergeCell ref="B261:C261"/>
    <mergeCell ref="B262:C262"/>
    <mergeCell ref="B263:C263"/>
    <mergeCell ref="B257:C257"/>
    <mergeCell ref="B258:C258"/>
    <mergeCell ref="B259:C259"/>
    <mergeCell ref="B264:C264"/>
    <mergeCell ref="B265:C265"/>
    <mergeCell ref="B260:C260"/>
    <mergeCell ref="B256:C256"/>
    <mergeCell ref="B275:C275"/>
    <mergeCell ref="B276:C276"/>
    <mergeCell ref="B270:C270"/>
    <mergeCell ref="B271:C271"/>
    <mergeCell ref="B272:C272"/>
    <mergeCell ref="B273:C273"/>
    <mergeCell ref="B274:C27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Аркуші</vt:lpstr>
      </vt:variant>
      <vt:variant>
        <vt:i4>2</vt:i4>
      </vt:variant>
      <vt:variant>
        <vt:lpstr>Іменовані діапазони</vt:lpstr>
      </vt:variant>
      <vt:variant>
        <vt:i4>1</vt:i4>
      </vt:variant>
    </vt:vector>
  </HeadingPairs>
  <TitlesOfParts>
    <vt:vector size="3" baseType="lpstr">
      <vt:lpstr>Сітка</vt:lpstr>
      <vt:lpstr>Дані</vt:lpstr>
      <vt:lpstr>Сітка!Область_друку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Yura</dc:creator>
  <cp:lastModifiedBy>філія "Північний ЛО" ПК №01</cp:lastModifiedBy>
  <cp:lastPrinted>2026-03-10T14:30:23Z</cp:lastPrinted>
  <dcterms:created xsi:type="dcterms:W3CDTF">2015-06-05T18:19:34Z</dcterms:created>
  <dcterms:modified xsi:type="dcterms:W3CDTF">2026-05-25T06:40:32Z</dcterms:modified>
</cp:coreProperties>
</file>